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itserveqatar.sharepoint.com/docs/Shared Documents/Operations/Projects/Projects 2025/Currently Working RFP-2025/"/>
    </mc:Choice>
  </mc:AlternateContent>
  <xr:revisionPtr revIDLastSave="546" documentId="8_{C1AF11F9-97D7-4ECE-8AE5-1704C5375AE6}" xr6:coauthVersionLast="47" xr6:coauthVersionMax="47" xr10:uidLastSave="{D7236263-98E6-4847-A8D4-2F971D340F24}"/>
  <bookViews>
    <workbookView xWindow="-26010" yWindow="1380" windowWidth="25890" windowHeight="12975" xr2:uid="{3FC2AB61-F923-4EDE-91CE-BDD2FCAD4D3B}"/>
  </bookViews>
  <sheets>
    <sheet name="Currently Working" sheetId="1" r:id="rId1"/>
    <sheet name="Sheet1" sheetId="3" r:id="rId2"/>
  </sheets>
  <definedNames>
    <definedName name="_xlnm._FilterDatabase" localSheetId="0" hidden="1">'Currently Working'!$A$51:$P$86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54" i="1" s="1"/>
  <c r="A14" i="1" s="1"/>
  <c r="A15" i="1" s="1"/>
  <c r="A16" i="1" s="1"/>
  <c r="O12" i="1"/>
  <c r="N15" i="1"/>
  <c r="O10" i="1"/>
  <c r="N10" i="1" s="1"/>
  <c r="O13" i="1" l="1"/>
  <c r="N13" i="1" s="1"/>
  <c r="N12" i="1"/>
  <c r="O6" i="1"/>
  <c r="N6" i="1" s="1"/>
  <c r="O11" i="1"/>
  <c r="N11" i="1" s="1"/>
  <c r="O8" i="1"/>
  <c r="N8" i="1" s="1"/>
  <c r="O5" i="1"/>
  <c r="N5" i="1" s="1"/>
  <c r="O4" i="1"/>
  <c r="N4" i="1" s="1"/>
  <c r="O9" i="1"/>
  <c r="N9" i="1" s="1"/>
  <c r="O7" i="1"/>
  <c r="N7" i="1" s="1"/>
  <c r="O14" i="1"/>
  <c r="N14" i="1" s="1"/>
  <c r="P14" i="1" s="1"/>
  <c r="P10" i="1" l="1"/>
  <c r="P54" i="1"/>
  <c r="P12" i="1"/>
  <c r="P11" i="1"/>
  <c r="P13" i="1"/>
  <c r="P4" i="1"/>
  <c r="P9" i="1"/>
  <c r="P8" i="1"/>
  <c r="P6" i="1"/>
  <c r="P7" i="1"/>
  <c r="P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Bala</author>
  </authors>
  <commentList>
    <comment ref="G106" authorId="0" shapeId="0" xr:uid="{55303772-23F3-4F89-9689-ECF198F2AE39}">
      <text>
        <r>
          <rPr>
            <b/>
            <sz val="9"/>
            <color indexed="81"/>
            <rFont val="Tahoma"/>
            <family val="2"/>
          </rPr>
          <t>Bala:</t>
        </r>
        <r>
          <rPr>
            <sz val="9"/>
            <color indexed="81"/>
            <rFont val="Tahoma"/>
            <family val="2"/>
          </rPr>
          <t xml:space="preserve">
Negotiations are going on and we'll be re-submitting with new values on 11th Aug 2025
</t>
        </r>
      </text>
    </comment>
  </commentList>
</comments>
</file>

<file path=xl/sharedStrings.xml><?xml version="1.0" encoding="utf-8"?>
<sst xmlns="http://schemas.openxmlformats.org/spreadsheetml/2006/main" count="1169" uniqueCount="414">
  <si>
    <t>Currently Working on</t>
  </si>
  <si>
    <t>Sno</t>
  </si>
  <si>
    <t>Customer</t>
  </si>
  <si>
    <t>Tender Details</t>
  </si>
  <si>
    <t>Description</t>
  </si>
  <si>
    <t>Status</t>
  </si>
  <si>
    <t>Business Owner</t>
  </si>
  <si>
    <t>Bid Owner</t>
  </si>
  <si>
    <t>Submission Date</t>
  </si>
  <si>
    <t>Tender Bond Readiness</t>
  </si>
  <si>
    <t>Tender Value</t>
  </si>
  <si>
    <t>Validity</t>
  </si>
  <si>
    <t>Mode of Submission</t>
  </si>
  <si>
    <t>Days left</t>
  </si>
  <si>
    <t>Reformatted Date</t>
  </si>
  <si>
    <t>Rank</t>
  </si>
  <si>
    <t>In progress</t>
  </si>
  <si>
    <t>Arasu</t>
  </si>
  <si>
    <t>Moayed/Elfadil</t>
  </si>
  <si>
    <t>120 Days</t>
  </si>
  <si>
    <t>Monaqasat</t>
  </si>
  <si>
    <t>Customs</t>
  </si>
  <si>
    <t>WAN Security for Azure Landing Zone</t>
  </si>
  <si>
    <t>In Progress</t>
  </si>
  <si>
    <t>Sudheer</t>
  </si>
  <si>
    <t>Qasim/Bala</t>
  </si>
  <si>
    <t>29th Oct 2025</t>
  </si>
  <si>
    <t>NA</t>
  </si>
  <si>
    <t>Email</t>
  </si>
  <si>
    <t>PHCC</t>
  </si>
  <si>
    <t xml:space="preserve"> 709332-PHCC-TAC-96-2025- Dataloggers-Temperature Monitoring</t>
  </si>
  <si>
    <t xml:space="preserve"> RFQ 709332 (PHCC/TAC/96/2025 - Dataloggers</t>
  </si>
  <si>
    <t>Elfadil</t>
  </si>
  <si>
    <t>To be requested</t>
  </si>
  <si>
    <t>PHCC Portal (Mae has access)</t>
  </si>
  <si>
    <t>QGIRCO</t>
  </si>
  <si>
    <t>ISMS - VAPT-Vciso &amp; CISO Architect</t>
  </si>
  <si>
    <t>sudheer</t>
  </si>
  <si>
    <t>Qasim ; Bala</t>
  </si>
  <si>
    <t>1st Nov 2025</t>
  </si>
  <si>
    <t>Not Required</t>
  </si>
  <si>
    <t>Technical - email
Commercial - Hand delivery</t>
  </si>
  <si>
    <t>MOT</t>
  </si>
  <si>
    <t>2025-1271-Sila Movement</t>
  </si>
  <si>
    <t>Relocate Sila Operation Center for WestBay Station with design, build and Furnishing of the Ministry's office at WestBay Station</t>
  </si>
  <si>
    <t>Elfadil/Vincent/Moayed</t>
  </si>
  <si>
    <t>17th Nov 2025</t>
  </si>
  <si>
    <t>MOCI</t>
  </si>
  <si>
    <t>MOCI - 2025-5533-XDR Renewal</t>
  </si>
  <si>
    <t>End point and Server XDR Renewal</t>
  </si>
  <si>
    <t>Qasim</t>
  </si>
  <si>
    <t>3rd Nov 2025</t>
  </si>
  <si>
    <t>2025-4593-Professional Consulting Services</t>
  </si>
  <si>
    <t>Professional Consulting Framework Agreement for the Public Transport</t>
  </si>
  <si>
    <t>Elfadil/Moayed/Bala/Deba</t>
  </si>
  <si>
    <t>5th Nov 2025</t>
  </si>
  <si>
    <t>Ready</t>
  </si>
  <si>
    <t>484153-2</t>
  </si>
  <si>
    <t>Reintroducing the practice of providing managed services and support for security systems and the Authority's platform on Azure</t>
  </si>
  <si>
    <t>10th Nov 2025</t>
  </si>
  <si>
    <t>HMC</t>
  </si>
  <si>
    <t>HMC 2025-5891-Network Monitoring Renewal</t>
  </si>
  <si>
    <t>HMC/MTCS/355/2025- Re-Tender ; Suppport Renewal for Network Monitoring NNMI Tool for 3 Years</t>
  </si>
  <si>
    <t>11th Nov 2025</t>
  </si>
  <si>
    <t xml:space="preserve">Monaqasat </t>
  </si>
  <si>
    <t>Qatar Tourism</t>
  </si>
  <si>
    <t>2974/2025</t>
  </si>
  <si>
    <t>Providing a workforce to assist in technical,admin.support and PM for 3 years</t>
  </si>
  <si>
    <t>monaqasat</t>
  </si>
  <si>
    <t>715324 PHCCTAC1042025- PHCC Secondment of Document Controller Academic Affairs</t>
  </si>
  <si>
    <t>Secondment of Document Controller Academic Affairs</t>
  </si>
  <si>
    <t>23rd Nov 2025</t>
  </si>
  <si>
    <t>MCIT</t>
  </si>
  <si>
    <t>5829/2025</t>
  </si>
  <si>
    <t>Specialized Consulting Services (Call of Agreement)</t>
  </si>
  <si>
    <t>Moayed/Elfaddil</t>
  </si>
  <si>
    <t>12th Nov 2025</t>
  </si>
  <si>
    <t>Aspire Zone</t>
  </si>
  <si>
    <t>Network Packet Broker Solution for Lusail Stadium</t>
  </si>
  <si>
    <t>RFP Expected</t>
  </si>
  <si>
    <t xml:space="preserve">Bala/Qasim </t>
  </si>
  <si>
    <t>Expected</t>
  </si>
  <si>
    <t>Sent our IFP</t>
  </si>
  <si>
    <t>Regret Letter Sent</t>
  </si>
  <si>
    <t>`</t>
  </si>
  <si>
    <t>Qatar Museums</t>
  </si>
  <si>
    <t>2025-691</t>
  </si>
  <si>
    <t>Library Management Systems Support (2025-2026)</t>
  </si>
  <si>
    <t>nil</t>
  </si>
  <si>
    <t>Regret Letter</t>
  </si>
  <si>
    <t xml:space="preserve">Regret Letter Sent </t>
  </si>
  <si>
    <t>QDB</t>
  </si>
  <si>
    <t>RFQID</t>
  </si>
  <si>
    <t>SailPoint Renewal</t>
  </si>
  <si>
    <t>Qatar Foundation</t>
  </si>
  <si>
    <t>2025- 918</t>
  </si>
  <si>
    <t>Energy Management System at Various QF Facilities</t>
  </si>
  <si>
    <t>MOF</t>
  </si>
  <si>
    <t>2024-5394</t>
  </si>
  <si>
    <t>Updating Desktop, system, monitors and other devices</t>
  </si>
  <si>
    <t>Not worth to participate</t>
  </si>
  <si>
    <t xml:space="preserve">Bala to confirm morning of 11/3 </t>
  </si>
  <si>
    <t>Qatar University</t>
  </si>
  <si>
    <t>2025-1128</t>
  </si>
  <si>
    <t>Project Management as a Service</t>
  </si>
  <si>
    <t>2025-1146</t>
  </si>
  <si>
    <t>Supply,Install and Maintenance Giant Screen at Various</t>
  </si>
  <si>
    <t>QPMC</t>
  </si>
  <si>
    <t>2025- 965</t>
  </si>
  <si>
    <t>Asset Management System Using RFID Tagging</t>
  </si>
  <si>
    <t>to be confirmed 11th March</t>
  </si>
  <si>
    <t>Request for Extension</t>
  </si>
  <si>
    <t>2025-719</t>
  </si>
  <si>
    <t>Framework Agreement for consultation services</t>
  </si>
  <si>
    <t>Tender Bond Extension</t>
  </si>
  <si>
    <t>3828-2024</t>
  </si>
  <si>
    <t>E-Service Automation</t>
  </si>
  <si>
    <t>Nil</t>
  </si>
  <si>
    <t>GAC</t>
  </si>
  <si>
    <t>RFQ - 48067</t>
  </si>
  <si>
    <t>Customs e-services mobile application (Administrative Services Automation Project - Amer)</t>
  </si>
  <si>
    <t>1222/2025</t>
  </si>
  <si>
    <t>RFI for Dependency Mapping Tool for DC Migration</t>
  </si>
  <si>
    <t>Al Rayyan</t>
  </si>
  <si>
    <t>PR000182/2025</t>
  </si>
  <si>
    <t xml:space="preserve">CTM Data Encryption and HSM Licenses (Thales)
</t>
  </si>
  <si>
    <t>Supreme Judiciary Council</t>
  </si>
  <si>
    <t>1586/2025</t>
  </si>
  <si>
    <t>Implementation of biometric IDF/MDF Security Equipment</t>
  </si>
  <si>
    <t>Vincent</t>
  </si>
  <si>
    <t>shafalah</t>
  </si>
  <si>
    <t>2025-2166</t>
  </si>
  <si>
    <t>Establishing an Enterprise Risk Management System</t>
  </si>
  <si>
    <t>SirajOne</t>
  </si>
  <si>
    <t>RFQ</t>
  </si>
  <si>
    <t xml:space="preserve">RFQ-IT Service, Configuration, maintenance and solution </t>
  </si>
  <si>
    <t>SJC</t>
  </si>
  <si>
    <t>2025-2134</t>
  </si>
  <si>
    <t>Darktrace network detection and response license renewal</t>
  </si>
  <si>
    <t>SC</t>
  </si>
  <si>
    <t>RFQ 40003518</t>
  </si>
  <si>
    <t>Sage50 (Peachtree) Quantum Accounting Software - US Edition, 2 User License Package Subscription for 5 years</t>
  </si>
  <si>
    <t>Al rayyan</t>
  </si>
  <si>
    <t>RFQ # ARMM-PR.000182</t>
  </si>
  <si>
    <t>CTM Data Encryption and HSM License (Thales)</t>
  </si>
  <si>
    <t>Change Management Project for GAC</t>
  </si>
  <si>
    <t>Oryx</t>
  </si>
  <si>
    <t xml:space="preserve">STC-CN-010-25-MC </t>
  </si>
  <si>
    <t>3 Years Lease Agreement for Laptops &amp; Peripherals (Lease to Own)</t>
  </si>
  <si>
    <t>150 Days</t>
  </si>
  <si>
    <t>MOEHE</t>
  </si>
  <si>
    <t>2025/189</t>
  </si>
  <si>
    <t>Active Directory Management and Auditing Tool</t>
  </si>
  <si>
    <t>2097/2025</t>
  </si>
  <si>
    <t>Managed Corporate Security operation centre</t>
  </si>
  <si>
    <t>Regret</t>
  </si>
  <si>
    <t>Qasim/Elfaddil</t>
  </si>
  <si>
    <t>13th July 2025</t>
  </si>
  <si>
    <t>3735/2025</t>
  </si>
  <si>
    <t>Configuration and implementation of strategy and projects managemenet system</t>
  </si>
  <si>
    <t>25th Aug 2025</t>
  </si>
  <si>
    <t>120 DAYS</t>
  </si>
  <si>
    <t>Kharamma</t>
  </si>
  <si>
    <t>2323/2025</t>
  </si>
  <si>
    <t>Green and Smart Irrigation Solutions</t>
  </si>
  <si>
    <t>31st Aug 2025</t>
  </si>
  <si>
    <t>2025-4252</t>
  </si>
  <si>
    <t>Provision of Business Continuity Plan Services at QU</t>
  </si>
  <si>
    <t>9th Sept 2025</t>
  </si>
  <si>
    <t>National Planning Council</t>
  </si>
  <si>
    <t>4557-2025</t>
  </si>
  <si>
    <t>Supply and Installation of Smart Labels for meeting rooms on Floor 1-17</t>
  </si>
  <si>
    <t>14th Sept 2025</t>
  </si>
  <si>
    <t>SAB</t>
  </si>
  <si>
    <t>30-2025</t>
  </si>
  <si>
    <t>In House Applications</t>
  </si>
  <si>
    <t xml:space="preserve">Qasim </t>
  </si>
  <si>
    <t>15th Sept 2025</t>
  </si>
  <si>
    <t>QatarEnergy</t>
  </si>
  <si>
    <t>GT25100300 -</t>
  </si>
  <si>
    <t xml:space="preserve">Maintenance and Support Services on call-off basis for telecom transmission, radio communication &amp; industrial telecommunication systems at QatarEnergy onshore &amp; offshore locations  </t>
  </si>
  <si>
    <t>Bala/Qasim/Vincent</t>
  </si>
  <si>
    <t>23rd Sept 2025</t>
  </si>
  <si>
    <t>Will not be participating</t>
  </si>
  <si>
    <t>MOPH</t>
  </si>
  <si>
    <t>2025-4876</t>
  </si>
  <si>
    <t>VA PT Services</t>
  </si>
  <si>
    <t>25th Sept 2025</t>
  </si>
  <si>
    <t>Network Cabling and switches installation for HQ and Industrial Area (DR)
Passive and Active</t>
  </si>
  <si>
    <t>19th Oct 2025</t>
  </si>
  <si>
    <t>NIL</t>
  </si>
  <si>
    <t>13th Oct 2025</t>
  </si>
  <si>
    <t xml:space="preserve">Submitted </t>
  </si>
  <si>
    <t>Notes</t>
  </si>
  <si>
    <t>Task Owner</t>
  </si>
  <si>
    <t>HBKU-RFQ-729,1</t>
  </si>
  <si>
    <t>HBKU Meeting Rooms</t>
  </si>
  <si>
    <t>Submitted</t>
  </si>
  <si>
    <t>Vincent/El Faddil</t>
  </si>
  <si>
    <t>27th March 2025</t>
  </si>
  <si>
    <t>48031-2</t>
  </si>
  <si>
    <t>AD360 Op Manager ( Manage Engine)</t>
  </si>
  <si>
    <t>10th March 2025</t>
  </si>
  <si>
    <t>2024-6028</t>
  </si>
  <si>
    <t>Enterprise Risk Management</t>
  </si>
  <si>
    <t>Qasim/ Bala</t>
  </si>
  <si>
    <t>16th March 2025</t>
  </si>
  <si>
    <t>RFE-70343</t>
  </si>
  <si>
    <t>Network Virtual Appliance (NVA) Firewall for Azure</t>
  </si>
  <si>
    <t>RFE-70344</t>
  </si>
  <si>
    <t xml:space="preserve">MaxHub - 04 Nos </t>
  </si>
  <si>
    <t>13th March 2025</t>
  </si>
  <si>
    <t>NOC</t>
  </si>
  <si>
    <t>Call Off 06</t>
  </si>
  <si>
    <t>PM (Petroleum)</t>
  </si>
  <si>
    <t>Moayed/El Faddil</t>
  </si>
  <si>
    <t>17th April 2025</t>
  </si>
  <si>
    <t>2025/1405</t>
  </si>
  <si>
    <t>Support and Subscription Renewal of FortiGate Firewalls for MOPH</t>
  </si>
  <si>
    <t>PR000180/2025</t>
  </si>
  <si>
    <t>PAM License Renewal and Services (Delinea)</t>
  </si>
  <si>
    <t>23rd April 2025</t>
  </si>
  <si>
    <t>Aamal Group</t>
  </si>
  <si>
    <t>RFQ-NEGAMH000199</t>
  </si>
  <si>
    <t>City center Mobile Application</t>
  </si>
  <si>
    <t>Elfaddil/Bala</t>
  </si>
  <si>
    <t>not required</t>
  </si>
  <si>
    <t>Min of Municipality</t>
  </si>
  <si>
    <t>2025-867</t>
  </si>
  <si>
    <t>ITSM and patch management.</t>
  </si>
  <si>
    <t>27th April 2025</t>
  </si>
  <si>
    <t>1425-2-2025</t>
  </si>
  <si>
    <t xml:space="preserve">Cloud Security Consultancy Services/Cloud Cyber Adoption Strategy
</t>
  </si>
  <si>
    <t xml:space="preserve">Bala </t>
  </si>
  <si>
    <t>29th April 2025</t>
  </si>
  <si>
    <t>RFP-Firewalls-Datacenter HQ (Fortinet)</t>
  </si>
  <si>
    <t>5th May 2025</t>
  </si>
  <si>
    <t>Cisco ISE Renewal</t>
  </si>
  <si>
    <t>6th May 205</t>
  </si>
  <si>
    <t>Ministry of Justice</t>
  </si>
  <si>
    <t>2025-1420</t>
  </si>
  <si>
    <t>Renewal For Veem Back up software for 3 Years</t>
  </si>
  <si>
    <t>Bala</t>
  </si>
  <si>
    <t>8th May 2025</t>
  </si>
  <si>
    <t>1827/2025</t>
  </si>
  <si>
    <t>Renewal of Manage Engine for 3 Years</t>
  </si>
  <si>
    <t>15th May 2025</t>
  </si>
  <si>
    <t>QNB</t>
  </si>
  <si>
    <t>68-2025</t>
  </si>
  <si>
    <t>Titus Renewal</t>
  </si>
  <si>
    <t>Bala/Qasim</t>
  </si>
  <si>
    <t>19th May 2025</t>
  </si>
  <si>
    <t>Qatar Energy</t>
  </si>
  <si>
    <t>GT25102900</t>
  </si>
  <si>
    <t>NDR Solutions and Threat Hunting</t>
  </si>
  <si>
    <t>18th May 2025</t>
  </si>
  <si>
    <t>LT25101700</t>
  </si>
  <si>
    <t>Penetration Testing (Call Off)</t>
  </si>
  <si>
    <t>26th May 2025</t>
  </si>
  <si>
    <t>1702/2025</t>
  </si>
  <si>
    <t>Electronic Development Project for the Executive Meeting and conference halls on the 15th Floor with a 3 year suppot and maintenance</t>
  </si>
  <si>
    <t>Elfaddil/Moayed</t>
  </si>
  <si>
    <t>28th May 2025</t>
  </si>
  <si>
    <t>1670/2025</t>
  </si>
  <si>
    <t>Project for Renewal Warranty and License for Exadata Database 2025-2026</t>
  </si>
  <si>
    <t>Ooredoo</t>
  </si>
  <si>
    <t>Rfx 45836</t>
  </si>
  <si>
    <t>BCMS Software Acquisition</t>
  </si>
  <si>
    <t>10th June 2025</t>
  </si>
  <si>
    <t>rfq 6538</t>
  </si>
  <si>
    <t>NAC Solution</t>
  </si>
  <si>
    <t>3rd Jun 2025</t>
  </si>
  <si>
    <t>QFFD</t>
  </si>
  <si>
    <t>1815/2025</t>
  </si>
  <si>
    <t>Provision of Media and Communication Consultancy rfi</t>
  </si>
  <si>
    <t>El faddil/Moayed</t>
  </si>
  <si>
    <t>L &amp; T Clements/QE LNG</t>
  </si>
  <si>
    <t>Procurement for Office</t>
  </si>
  <si>
    <t>Sidra</t>
  </si>
  <si>
    <t>Nego 14600</t>
  </si>
  <si>
    <t>Zebra Requirements-Excel sheet attached</t>
  </si>
  <si>
    <t>21st June 2025</t>
  </si>
  <si>
    <t>LT25103000</t>
  </si>
  <si>
    <t>Cyber Security Solutions (Trellix,WupGold,Solarwinds, Fortigate)</t>
  </si>
  <si>
    <t>23rd June 2025</t>
  </si>
  <si>
    <t>2025/2398</t>
  </si>
  <si>
    <t>Establishment and Activation of BCM</t>
  </si>
  <si>
    <t>24th June 2025</t>
  </si>
  <si>
    <t>Al rayyan Media</t>
  </si>
  <si>
    <t>ARMM-TC-RFP-005-2025</t>
  </si>
  <si>
    <t>NDR Solutions</t>
  </si>
  <si>
    <t>1st July 2025</t>
  </si>
  <si>
    <t>2025/2531</t>
  </si>
  <si>
    <t>E-Government Content and Social Media Engagement</t>
  </si>
  <si>
    <t>3rd July 2025</t>
  </si>
  <si>
    <t>Amiri Diwan</t>
  </si>
  <si>
    <t>AD/IT/RFQ/2025/35</t>
  </si>
  <si>
    <t>Nexpose Support &amp; License renewal</t>
  </si>
  <si>
    <t>12th July 2025</t>
  </si>
  <si>
    <t>PHCC/TAC/46/2025 - Information System Security Audit Services</t>
  </si>
  <si>
    <t>17th July 2025</t>
  </si>
  <si>
    <t>PIH</t>
  </si>
  <si>
    <t>RFP-PIH-136:</t>
  </si>
  <si>
    <t>PMO as a Services (PMOaaS)</t>
  </si>
  <si>
    <t>15th July 2025</t>
  </si>
  <si>
    <t>Qatar Fuel (Woqod)</t>
  </si>
  <si>
    <t>QF/01/C/10/1120037190/39/25</t>
  </si>
  <si>
    <t>Design, installation, configuration, commissioning, support, and training for Operational Technology (OT) security monitoring solution with bundled support for a period of Five [05] years</t>
  </si>
  <si>
    <t>20th July 2025</t>
  </si>
  <si>
    <t xml:space="preserve">2025-2896 </t>
  </si>
  <si>
    <t>SIC OF ADDITIIONAL TEMPERATURE/HUMIDITY MONITORING SYSTEM FOR AMBULATORY CARE CENTER AT HMBMC</t>
  </si>
  <si>
    <t>22nd July 2025</t>
  </si>
  <si>
    <t>QF/02/C/10/1120036957/41/25</t>
  </si>
  <si>
    <t>Design, supply, configuration, implementation, and commissioning of Application Security Testing Solution for a Period of Five (5) Years with bundled support</t>
  </si>
  <si>
    <t>31st July 2025</t>
  </si>
  <si>
    <t>210 Days</t>
  </si>
  <si>
    <t>Amiri Guard</t>
  </si>
  <si>
    <t>Rapid7 Renewal</t>
  </si>
  <si>
    <t>Qchem</t>
  </si>
  <si>
    <t>QC/BUDG/IT/51/25</t>
  </si>
  <si>
    <t>Algosec License</t>
  </si>
  <si>
    <t>29TH July 2025</t>
  </si>
  <si>
    <t>n/a</t>
  </si>
  <si>
    <t>2937/2025</t>
  </si>
  <si>
    <t>Outline Maritime sector governance and refine governance mechanisms</t>
  </si>
  <si>
    <t>QNA</t>
  </si>
  <si>
    <t>3694/2025</t>
  </si>
  <si>
    <t>IT Service Management Delivery and Implementation</t>
  </si>
  <si>
    <t>IT Service Management Delivery and Implementation ( with Patch Mgmt)</t>
  </si>
  <si>
    <t>BCMS Software Acquisition (Revised)</t>
  </si>
  <si>
    <t>Extension of Martin/Yousef for 1 Year from Dec 2025</t>
  </si>
  <si>
    <t>Al Hattab Holding</t>
  </si>
  <si>
    <t>Lepide Renewal</t>
  </si>
  <si>
    <t>Awarded</t>
  </si>
  <si>
    <t>ORYX GTL</t>
  </si>
  <si>
    <t xml:space="preserve">STC-MT-104-25-IT </t>
  </si>
  <si>
    <t>Procurement of EX-Tablets</t>
  </si>
  <si>
    <t>Bala/Tafa</t>
  </si>
  <si>
    <t>20th Aug 2025</t>
  </si>
  <si>
    <t>in progress</t>
  </si>
  <si>
    <t>RFQ-8515</t>
  </si>
  <si>
    <t>NVA (Palo alto/Fortinet)</t>
  </si>
  <si>
    <t>17th Aug 2025</t>
  </si>
  <si>
    <t>RFQ-6610</t>
  </si>
  <si>
    <t>Veeam Renewal</t>
  </si>
  <si>
    <t>19th Aug 2025</t>
  </si>
  <si>
    <t>GWC</t>
  </si>
  <si>
    <t>OPSWAT MetaData</t>
  </si>
  <si>
    <t>Fortimanager Implementation</t>
  </si>
  <si>
    <t>Sudheer/Qasim</t>
  </si>
  <si>
    <t>WhatsupGold Intelligent IT Infrastructure Monitoring Solution</t>
  </si>
  <si>
    <t>-</t>
  </si>
  <si>
    <t xml:space="preserve">Weather Station </t>
  </si>
  <si>
    <t>Paul</t>
  </si>
  <si>
    <t>11th Sept 2025</t>
  </si>
  <si>
    <t>Renewal of Perpetuiti</t>
  </si>
  <si>
    <t>20th Sept 2025</t>
  </si>
  <si>
    <t>WAN Firewalls for Azure Qatar Landing Zone ( Fortinet)</t>
  </si>
  <si>
    <t>29th Sept 2025</t>
  </si>
  <si>
    <t>Internet Firewall for Azure Qatar Landing Zone ( Palo Alto)</t>
  </si>
  <si>
    <t>Internet Firewall for Azure Qatar Landing Zone ( Fortinet)</t>
  </si>
  <si>
    <t>qasim</t>
  </si>
  <si>
    <t>Qrail</t>
  </si>
  <si>
    <t>2025-3566</t>
  </si>
  <si>
    <t>Passenger counting system for transfer station</t>
  </si>
  <si>
    <t>4559- 2025 &amp; RFQ 42</t>
  </si>
  <si>
    <t>Darktrace Renewal for QNL</t>
  </si>
  <si>
    <t xml:space="preserve">Online </t>
  </si>
  <si>
    <t>QC/STC/IT/202/25</t>
  </si>
  <si>
    <t>Algosec Firewall analyzer subscription and training</t>
  </si>
  <si>
    <t>1st Oct 2025</t>
  </si>
  <si>
    <t>PHCC/TAC/81/2025</t>
  </si>
  <si>
    <t>PHCC Secondment of E-Learning Developer for Three (3) Years</t>
  </si>
  <si>
    <t>Bala/Elfaddil</t>
  </si>
  <si>
    <t>9th Oct 2025</t>
  </si>
  <si>
    <t>SCDL</t>
  </si>
  <si>
    <t>Atempo Lina Support</t>
  </si>
  <si>
    <t>Morten</t>
  </si>
  <si>
    <t>Total Energies</t>
  </si>
  <si>
    <t>T-2025-011</t>
  </si>
  <si>
    <t>Proximity Support Services</t>
  </si>
  <si>
    <t>Bala/Deba</t>
  </si>
  <si>
    <t>4799-2025</t>
  </si>
  <si>
    <t>Supply, Delivery,Installation and Support of Network Monitoring Solution
SF/AZF/IT/3223/25</t>
  </si>
  <si>
    <t>21st oct 2025</t>
  </si>
  <si>
    <t>Baladna</t>
  </si>
  <si>
    <t>N/A</t>
  </si>
  <si>
    <t>Hay Fire Prevention Monitoring System</t>
  </si>
  <si>
    <t>Elfadil/Moayed</t>
  </si>
  <si>
    <t>23rd October 2025</t>
  </si>
  <si>
    <t>Consulting study for the appointment of a consultant on call for the Technical Office</t>
  </si>
  <si>
    <t xml:space="preserve">In progress </t>
  </si>
  <si>
    <t>Deba/Moayed</t>
  </si>
  <si>
    <t xml:space="preserve">not requested </t>
  </si>
  <si>
    <t>120 days</t>
  </si>
  <si>
    <t xml:space="preserve">In Progress </t>
  </si>
  <si>
    <t xml:space="preserve">Not requested </t>
  </si>
  <si>
    <t xml:space="preserve">Notes </t>
  </si>
  <si>
    <t>Provision of Manpower for the Supreme Committee for Delivery &amp; 7 Legacy (SC) Internal Audit Services on a Call-Off Basis</t>
  </si>
  <si>
    <t xml:space="preserve">regret letter needs to be sent for this one </t>
  </si>
  <si>
    <t>16th Nov 2025</t>
  </si>
  <si>
    <t xml:space="preserve">Deba to submit candidates by Wednesday the 12/11. Technical currently being prepared by Moayed. Commerical will be completed by Bala </t>
  </si>
  <si>
    <t>Deba/Bala</t>
  </si>
  <si>
    <t>18th Nov 2025</t>
  </si>
  <si>
    <t xml:space="preserve">Update due from Qasim </t>
  </si>
  <si>
    <t>Pending BOG and Drawings from Emad, AV scope/ BOQ from Vince</t>
  </si>
  <si>
    <t>2025/6067</t>
  </si>
  <si>
    <t xml:space="preserve">Publics Sapient to produce technical scope </t>
  </si>
  <si>
    <t>submitted</t>
  </si>
  <si>
    <t>Regret letter sent</t>
  </si>
  <si>
    <t xml:space="preserve">regret letter to be sent </t>
  </si>
  <si>
    <t xml:space="preserve">pending </t>
  </si>
  <si>
    <t>update due today</t>
  </si>
  <si>
    <r>
      <t xml:space="preserve">MOT Tender for Establish </t>
    </r>
    <r>
      <rPr>
        <sz val="8"/>
        <color rgb="FF0070C0"/>
        <rFont val="Segoe UI"/>
        <family val="2"/>
      </rPr>
      <t>EA Office - EA Enterprise Architect Office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</si>
</sst>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0"/>
      <color theme="1"/>
      <name val="Times New Roman"/>
      <family val="1"/>
    </font>
    <font>
      <b/>
      <sz val="10"/>
      <color rgb="FF000000"/>
      <name val="Arial"/>
      <family val="2"/>
    </font>
    <font>
      <sz val="11"/>
      <color rgb="FF000000"/>
      <name val="Aptos Narrow"/>
      <family val="2"/>
    </font>
    <font>
      <sz val="10"/>
      <color rgb="FF000000"/>
      <name val="Arial"/>
      <family val="2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0"/>
      <name val="Aptos Narrow"/>
      <family val="2"/>
      <scheme val="minor"/>
    </font>
    <font>
      <sz val="11"/>
      <color rgb="FF000000"/>
      <name val="Aptos Narrow"/>
    </font>
    <font>
      <b/>
      <sz val="11"/>
      <color rgb="FF000000"/>
      <name val="Aptos Narrow"/>
    </font>
    <font>
      <sz val="11"/>
      <color rgb="FF0070C0"/>
      <name val="Aptos Narrow"/>
      <family val="2"/>
    </font>
    <font>
      <sz val="11"/>
      <color theme="1"/>
      <name val="Aptos Narrow"/>
      <family val="2"/>
    </font>
    <font>
      <sz val="11"/>
      <color rgb="FF0070C0"/>
      <name val="Aptos Narrow"/>
      <family val="2"/>
      <scheme val="minor"/>
    </font>
    <font>
      <sz val="8"/>
      <color rgb="FF0070C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2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43" fontId="5" fillId="0" borderId="1" xfId="1" applyFont="1" applyBorder="1" applyAlignment="1">
      <alignment horizontal="center" vertical="center"/>
    </xf>
    <xf numFmtId="43" fontId="5" fillId="0" borderId="1" xfId="1" applyFont="1" applyFill="1" applyBorder="1" applyAlignment="1">
      <alignment horizontal="center" vertical="center"/>
    </xf>
    <xf numFmtId="43" fontId="0" fillId="0" borderId="1" xfId="1" applyFont="1" applyBorder="1" applyAlignment="1">
      <alignment wrapText="1"/>
    </xf>
    <xf numFmtId="43" fontId="0" fillId="0" borderId="1" xfId="1" applyFont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43" fontId="0" fillId="0" borderId="0" xfId="1" applyFont="1" applyFill="1" applyBorder="1"/>
    <xf numFmtId="43" fontId="5" fillId="0" borderId="0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0" fillId="0" borderId="3" xfId="0" applyBorder="1"/>
    <xf numFmtId="0" fontId="5" fillId="4" borderId="1" xfId="0" applyFont="1" applyFill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43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43" fontId="5" fillId="0" borderId="1" xfId="1" applyFont="1" applyFill="1" applyBorder="1" applyAlignment="1">
      <alignment horizontal="right" vertical="center" wrapText="1"/>
    </xf>
    <xf numFmtId="43" fontId="3" fillId="0" borderId="1" xfId="1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3" fontId="0" fillId="0" borderId="1" xfId="1" applyFont="1" applyFill="1" applyBorder="1" applyAlignment="1">
      <alignment wrapText="1"/>
    </xf>
    <xf numFmtId="43" fontId="0" fillId="0" borderId="1" xfId="1" applyFont="1" applyFill="1" applyBorder="1"/>
    <xf numFmtId="0" fontId="0" fillId="0" borderId="1" xfId="0" applyBorder="1" applyAlignment="1">
      <alignment horizontal="left" vertical="center"/>
    </xf>
    <xf numFmtId="43" fontId="0" fillId="0" borderId="1" xfId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3" fontId="5" fillId="4" borderId="1" xfId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43" fontId="5" fillId="4" borderId="6" xfId="1" applyFont="1" applyFill="1" applyBorder="1" applyAlignment="1">
      <alignment horizontal="center" vertical="center"/>
    </xf>
    <xf numFmtId="43" fontId="0" fillId="0" borderId="6" xfId="1" applyFont="1" applyFill="1" applyBorder="1" applyAlignment="1">
      <alignment horizontal="center" vertical="center"/>
    </xf>
    <xf numFmtId="43" fontId="0" fillId="0" borderId="0" xfId="1" applyFont="1" applyBorder="1" applyAlignment="1">
      <alignment horizontal="center" vertical="center"/>
    </xf>
    <xf numFmtId="0" fontId="8" fillId="0" borderId="1" xfId="2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/>
    </xf>
    <xf numFmtId="43" fontId="5" fillId="0" borderId="1" xfId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3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4" fontId="3" fillId="0" borderId="1" xfId="0" applyNumberFormat="1" applyFont="1" applyBorder="1" applyAlignment="1">
      <alignment vertical="center" wrapText="1"/>
    </xf>
    <xf numFmtId="0" fontId="0" fillId="0" borderId="0" xfId="0" applyAlignment="1">
      <alignment horizontal="left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14" fontId="3" fillId="0" borderId="0" xfId="0" applyNumberFormat="1" applyFont="1" applyAlignment="1">
      <alignment vertical="center" wrapText="1"/>
    </xf>
    <xf numFmtId="0" fontId="0" fillId="0" borderId="1" xfId="0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43" fontId="0" fillId="0" borderId="1" xfId="1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8" fillId="0" borderId="1" xfId="2" applyBorder="1" applyAlignment="1">
      <alignment horizontal="center" vertical="center" wrapText="1"/>
    </xf>
    <xf numFmtId="0" fontId="8" fillId="0" borderId="0" xfId="2" applyAlignment="1">
      <alignment wrapText="1"/>
    </xf>
    <xf numFmtId="0" fontId="11" fillId="0" borderId="0" xfId="2" applyFont="1" applyAlignment="1">
      <alignment horizontal="center" wrapText="1"/>
    </xf>
    <xf numFmtId="0" fontId="1" fillId="0" borderId="1" xfId="2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3" fontId="5" fillId="2" borderId="5" xfId="1" applyFont="1" applyFill="1" applyBorder="1" applyAlignment="1">
      <alignment horizontal="center" vertical="center"/>
    </xf>
    <xf numFmtId="43" fontId="0" fillId="0" borderId="5" xfId="1" applyFont="1" applyBorder="1" applyAlignment="1">
      <alignment horizontal="center" vertical="center"/>
    </xf>
    <xf numFmtId="0" fontId="0" fillId="0" borderId="5" xfId="0" applyBorder="1"/>
    <xf numFmtId="0" fontId="2" fillId="0" borderId="5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0" fillId="0" borderId="0" xfId="0" applyAlignment="1">
      <alignment wrapText="1"/>
    </xf>
    <xf numFmtId="0" fontId="5" fillId="0" borderId="0" xfId="0" applyFont="1" applyAlignment="1">
      <alignment vertical="center" wrapText="1"/>
    </xf>
    <xf numFmtId="0" fontId="0" fillId="0" borderId="0" xfId="0" applyAlignment="1"/>
    <xf numFmtId="0" fontId="0" fillId="0" borderId="1" xfId="0" applyBorder="1" applyAlignment="1"/>
    <xf numFmtId="0" fontId="5" fillId="0" borderId="6" xfId="0" applyFont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5" fillId="2" borderId="1" xfId="0" applyFont="1" applyFill="1" applyBorder="1" applyAlignment="1">
      <alignment vertical="center" wrapText="1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12" fillId="0" borderId="8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13" fillId="0" borderId="8" xfId="0" applyFont="1" applyBorder="1" applyAlignment="1">
      <alignment horizontal="left" vertical="top"/>
    </xf>
    <xf numFmtId="0" fontId="13" fillId="0" borderId="8" xfId="0" applyFont="1" applyBorder="1" applyAlignment="1">
      <alignment horizontal="center" vertical="center"/>
    </xf>
    <xf numFmtId="14" fontId="3" fillId="0" borderId="8" xfId="0" applyNumberFormat="1" applyFont="1" applyBorder="1" applyAlignment="1">
      <alignment vertical="center" wrapText="1"/>
    </xf>
    <xf numFmtId="14" fontId="0" fillId="0" borderId="1" xfId="0" applyNumberFormat="1" applyBorder="1" applyAlignment="1">
      <alignment horizontal="center" wrapText="1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0" fillId="0" borderId="0" xfId="0" applyBorder="1" applyAlignment="1">
      <alignment horizontal="center"/>
    </xf>
    <xf numFmtId="43" fontId="0" fillId="0" borderId="0" xfId="1" applyFont="1" applyBorder="1" applyAlignment="1">
      <alignment horizontal="center"/>
    </xf>
    <xf numFmtId="0" fontId="2" fillId="0" borderId="0" xfId="0" applyFont="1" applyBorder="1" applyAlignment="1">
      <alignment horizontal="left" vertical="top"/>
    </xf>
    <xf numFmtId="0" fontId="5" fillId="3" borderId="0" xfId="0" applyFont="1" applyFill="1" applyBorder="1" applyAlignment="1">
      <alignment horizontal="center" vertical="center"/>
    </xf>
    <xf numFmtId="14" fontId="0" fillId="3" borderId="0" xfId="0" applyNumberFormat="1" applyFill="1" applyBorder="1" applyAlignment="1">
      <alignment horizontal="center" vertical="center"/>
    </xf>
    <xf numFmtId="0" fontId="0" fillId="3" borderId="0" xfId="0" applyFill="1"/>
    <xf numFmtId="0" fontId="2" fillId="3" borderId="0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8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wrapText="1"/>
    </xf>
  </cellXfs>
  <cellStyles count="3">
    <cellStyle name="Comma" xfId="1" builtinId="3"/>
    <cellStyle name="Hyperlink" xfId="2" builtinId="8"/>
    <cellStyle name="Normal" xfId="0" builtinId="0"/>
  </cellStyles>
  <dxfs count="17"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FF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../../../../../../:f:/g/docs/Eo6no9kr7elPuZ4R81G-L48BUDMoM_0m6Aum2q-mMA_kkA?e=87tna4" TargetMode="External"/><Relationship Id="rId7" Type="http://schemas.openxmlformats.org/officeDocument/2006/relationships/hyperlink" Target="../../../../../../:f:/g/docs/Eqgz0Wg69shHtp6SwWQIfYMBrDIbHTCh5IyOR8biuTlk2A?e=UtxIiQ" TargetMode="External"/><Relationship Id="rId2" Type="http://schemas.openxmlformats.org/officeDocument/2006/relationships/hyperlink" Target="../../../../../../:f:/g/docs/Etzcajd6k0tPnmilrOhJvkUBmjKdNHt88i8Z_n2IKJNMpQ?e=hxt1wf" TargetMode="External"/><Relationship Id="rId1" Type="http://schemas.openxmlformats.org/officeDocument/2006/relationships/hyperlink" Target="../../../../../../:f:/g/docs/EpXaVW-hAHJAmdb603vTMdIBL-HZfEme6Cu0-p-suCtz0Q?e=3ihYbw" TargetMode="External"/><Relationship Id="rId6" Type="http://schemas.openxmlformats.org/officeDocument/2006/relationships/hyperlink" Target="../../../../../../:f:/g/docs/EspWulSpIohHgUUXANfORVkBF5YxBCP7YsKLicQKimPBSg?e=HO8bta" TargetMode="External"/><Relationship Id="rId5" Type="http://schemas.openxmlformats.org/officeDocument/2006/relationships/hyperlink" Target="../../../../../../:f:/g/docs/En6sGsjwdlxPrZ4PDw2_i6UBYisGU9wLjGaXchCBBMnwRw?e=bgJvVh" TargetMode="External"/><Relationship Id="rId10" Type="http://schemas.openxmlformats.org/officeDocument/2006/relationships/comments" Target="../comments1.xml"/><Relationship Id="rId4" Type="http://schemas.openxmlformats.org/officeDocument/2006/relationships/hyperlink" Target="../../../../../../:f:/g/docs/EmAyHp0BVhpJsf-I-pftW3EBPOPI3BDaaDqW2j4X1ZrE0A?e=zYIK3o" TargetMode="External"/><Relationship Id="rId9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19CC1-4B58-45AD-8E15-1625B09D3682}">
  <dimension ref="A1:Q127"/>
  <sheetViews>
    <sheetView tabSelected="1" topLeftCell="A10" zoomScale="120" zoomScaleNormal="120" workbookViewId="0">
      <pane xSplit="1" topLeftCell="B1" activePane="topRight" state="frozen"/>
      <selection pane="topRight" activeCell="D17" sqref="D17"/>
    </sheetView>
  </sheetViews>
  <sheetFormatPr defaultRowHeight="14.5" x14ac:dyDescent="0.35"/>
  <cols>
    <col min="1" max="1" width="3.26953125" customWidth="1"/>
    <col min="2" max="2" width="23.453125" bestFit="1" customWidth="1"/>
    <col min="3" max="3" width="17.6328125" customWidth="1"/>
    <col min="4" max="4" width="49.81640625" customWidth="1"/>
    <col min="5" max="5" width="16" style="60" customWidth="1"/>
    <col min="6" max="6" width="27.1796875" style="92" customWidth="1"/>
    <col min="7" max="7" width="13.81640625" bestFit="1" customWidth="1"/>
    <col min="8" max="8" width="17.81640625" customWidth="1"/>
    <col min="9" max="9" width="19" customWidth="1"/>
    <col min="10" max="10" width="19.6328125" customWidth="1"/>
    <col min="11" max="11" width="11.90625" customWidth="1"/>
    <col min="12" max="12" width="22.54296875" bestFit="1" customWidth="1"/>
    <col min="13" max="13" width="15.54296875" customWidth="1"/>
    <col min="14" max="14" width="9.54296875" customWidth="1"/>
    <col min="15" max="15" width="17" customWidth="1"/>
    <col min="16" max="16" width="16.81640625" bestFit="1" customWidth="1"/>
  </cols>
  <sheetData>
    <row r="1" spans="1:17" ht="15.75" customHeight="1" x14ac:dyDescent="0.35">
      <c r="A1" s="76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</row>
    <row r="2" spans="1:17" x14ac:dyDescent="0.35">
      <c r="A2" s="76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</row>
    <row r="3" spans="1:17" ht="26" x14ac:dyDescent="0.35">
      <c r="A3" s="2" t="s">
        <v>1</v>
      </c>
      <c r="B3" s="2" t="s">
        <v>2</v>
      </c>
      <c r="C3" s="1" t="s">
        <v>3</v>
      </c>
      <c r="D3" s="1" t="s">
        <v>4</v>
      </c>
      <c r="E3" s="1" t="s">
        <v>8</v>
      </c>
      <c r="F3" s="86" t="s">
        <v>397</v>
      </c>
      <c r="G3" s="1" t="s">
        <v>5</v>
      </c>
      <c r="H3" s="1" t="s">
        <v>6</v>
      </c>
      <c r="I3" s="1" t="s">
        <v>7</v>
      </c>
      <c r="J3" s="1" t="s">
        <v>9</v>
      </c>
      <c r="K3" s="7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68" t="s">
        <v>15</v>
      </c>
      <c r="Q3" s="68" t="s">
        <v>386</v>
      </c>
    </row>
    <row r="4" spans="1:17" x14ac:dyDescent="0.35">
      <c r="A4" s="3">
        <v>1</v>
      </c>
      <c r="B4" s="3" t="s">
        <v>21</v>
      </c>
      <c r="C4" s="29">
        <v>48148</v>
      </c>
      <c r="D4" s="54" t="s">
        <v>22</v>
      </c>
      <c r="E4" s="56" t="s">
        <v>26</v>
      </c>
      <c r="F4" s="87" t="s">
        <v>197</v>
      </c>
      <c r="G4" s="13" t="s">
        <v>23</v>
      </c>
      <c r="H4" s="13" t="s">
        <v>24</v>
      </c>
      <c r="I4" s="13" t="s">
        <v>25</v>
      </c>
      <c r="J4" s="9" t="s">
        <v>27</v>
      </c>
      <c r="K4" s="23" t="s">
        <v>27</v>
      </c>
      <c r="L4" s="13" t="s">
        <v>27</v>
      </c>
      <c r="M4" s="64" t="s">
        <v>28</v>
      </c>
      <c r="N4" s="1">
        <f t="shared" ref="N4:N8" ca="1" si="0">O4-TODAY()</f>
        <v>-14</v>
      </c>
      <c r="O4" s="57">
        <f>DATEVALUE(SUBSTITUTE(SUBSTITUTE(SUBSTITUTE(SUBSTITUTE(E4,"st",""),"nd",""),"rd",""),"th",""))</f>
        <v>45959</v>
      </c>
      <c r="P4" t="str">
        <f ca="1">IF(N4&gt;0, _xlfn.RANK.EQ(N4, $N$4:$N$9, 1) + COUNTIFS($N$4:$N$9, N4, $B$4:$B$9, "&gt;" &amp; B4), "")</f>
        <v/>
      </c>
    </row>
    <row r="5" spans="1:17" ht="72.5" x14ac:dyDescent="0.35">
      <c r="A5" s="3">
        <f>A4+1</f>
        <v>2</v>
      </c>
      <c r="B5" s="3" t="s">
        <v>29</v>
      </c>
      <c r="C5" s="70" t="s">
        <v>30</v>
      </c>
      <c r="D5" s="73" t="s">
        <v>31</v>
      </c>
      <c r="E5" s="56" t="s">
        <v>400</v>
      </c>
      <c r="F5" s="88" t="s">
        <v>399</v>
      </c>
      <c r="G5" s="13" t="s">
        <v>23</v>
      </c>
      <c r="H5" s="13" t="s">
        <v>17</v>
      </c>
      <c r="I5" s="13" t="s">
        <v>32</v>
      </c>
      <c r="J5" s="9" t="s">
        <v>33</v>
      </c>
      <c r="K5" s="23">
        <v>90000</v>
      </c>
      <c r="L5" s="13" t="s">
        <v>19</v>
      </c>
      <c r="M5" s="64" t="s">
        <v>34</v>
      </c>
      <c r="N5" s="1">
        <f t="shared" ca="1" si="0"/>
        <v>4</v>
      </c>
      <c r="O5" s="57">
        <f>DATEVALUE(SUBSTITUTE(SUBSTITUTE(SUBSTITUTE(SUBSTITUTE(E5,"st",""),"nd",""),"rd",""),"th",""))</f>
        <v>45977</v>
      </c>
      <c r="P5">
        <f ca="1">IF(N5&gt;0, _xlfn.RANK.EQ(N5, $N$4:$N$9, 1) + COUNTIFS($N$4:$N$9, N5, $B$4:$B$9, "&gt;" &amp; B5), "")</f>
        <v>5</v>
      </c>
    </row>
    <row r="6" spans="1:17" ht="43.5" x14ac:dyDescent="0.35">
      <c r="A6" s="3">
        <f t="shared" ref="A6:A16" si="1">A5+1</f>
        <v>3</v>
      </c>
      <c r="B6" s="3" t="s">
        <v>35</v>
      </c>
      <c r="C6" s="29"/>
      <c r="D6" s="25" t="s">
        <v>36</v>
      </c>
      <c r="E6" s="56" t="s">
        <v>39</v>
      </c>
      <c r="F6" s="4" t="s">
        <v>197</v>
      </c>
      <c r="G6" s="3" t="s">
        <v>16</v>
      </c>
      <c r="H6" s="3" t="s">
        <v>37</v>
      </c>
      <c r="I6" s="13" t="s">
        <v>38</v>
      </c>
      <c r="J6" s="9" t="s">
        <v>40</v>
      </c>
      <c r="K6" s="23"/>
      <c r="L6" s="13"/>
      <c r="M6" s="66" t="s">
        <v>41</v>
      </c>
      <c r="N6" s="1">
        <f t="shared" ca="1" si="0"/>
        <v>-11</v>
      </c>
      <c r="O6" s="57">
        <f>DATEVALUE(SUBSTITUTE(SUBSTITUTE(SUBSTITUTE(SUBSTITUTE(E6,"st",""),"nd",""),"rd",""),"th",""))</f>
        <v>45962</v>
      </c>
      <c r="P6" t="str">
        <f ca="1">IF(N6&gt;0, _xlfn.RANK.EQ(N6, $N$4:$N$9, 1) + COUNTIFS($N$4:$N$9, N6, $B$4:$B$9, "&gt;" &amp; B6), "")</f>
        <v/>
      </c>
    </row>
    <row r="7" spans="1:17" ht="81" customHeight="1" x14ac:dyDescent="0.35">
      <c r="A7" s="3">
        <f t="shared" si="1"/>
        <v>4</v>
      </c>
      <c r="B7" s="5" t="s">
        <v>42</v>
      </c>
      <c r="C7" s="69" t="s">
        <v>43</v>
      </c>
      <c r="D7" s="123" t="s">
        <v>44</v>
      </c>
      <c r="E7" s="56" t="s">
        <v>46</v>
      </c>
      <c r="F7" s="19" t="s">
        <v>405</v>
      </c>
      <c r="G7" s="3" t="s">
        <v>16</v>
      </c>
      <c r="H7" s="3" t="s">
        <v>17</v>
      </c>
      <c r="I7" s="55" t="s">
        <v>45</v>
      </c>
      <c r="J7" s="9" t="s">
        <v>23</v>
      </c>
      <c r="K7" s="23">
        <v>450000</v>
      </c>
      <c r="L7" s="13" t="s">
        <v>19</v>
      </c>
      <c r="M7" s="64" t="s">
        <v>20</v>
      </c>
      <c r="N7" s="1">
        <f t="shared" ca="1" si="0"/>
        <v>5</v>
      </c>
      <c r="O7" s="57">
        <f>DATEVALUE(SUBSTITUTE(SUBSTITUTE(SUBSTITUTE(SUBSTITUTE(E7,"st",""),"nd",""),"rd",""),"th",""))</f>
        <v>45978</v>
      </c>
      <c r="P7">
        <f ca="1">IF(N7&gt;0, _xlfn.RANK.EQ(N7, $N$4:$N$9, 1) + COUNTIFS($N$4:$N$9, N7, $B$4:$B$9, "&gt;" &amp; B7), "")</f>
        <v>6</v>
      </c>
    </row>
    <row r="8" spans="1:17" ht="71" customHeight="1" x14ac:dyDescent="0.35">
      <c r="A8" s="3">
        <f t="shared" si="1"/>
        <v>5</v>
      </c>
      <c r="B8" s="5" t="s">
        <v>47</v>
      </c>
      <c r="C8" s="69" t="s">
        <v>48</v>
      </c>
      <c r="D8" s="54" t="s">
        <v>49</v>
      </c>
      <c r="E8" s="56" t="s">
        <v>51</v>
      </c>
      <c r="F8" s="4" t="s">
        <v>408</v>
      </c>
      <c r="G8" s="13" t="s">
        <v>23</v>
      </c>
      <c r="H8" s="13" t="s">
        <v>17</v>
      </c>
      <c r="I8" s="13" t="s">
        <v>50</v>
      </c>
      <c r="J8" s="9" t="s">
        <v>33</v>
      </c>
      <c r="K8" s="23">
        <v>102000</v>
      </c>
      <c r="L8" s="13" t="s">
        <v>19</v>
      </c>
      <c r="M8" s="64" t="s">
        <v>20</v>
      </c>
      <c r="N8" s="1">
        <f t="shared" ca="1" si="0"/>
        <v>-9</v>
      </c>
      <c r="O8" s="57">
        <f>DATEVALUE(SUBSTITUTE(SUBSTITUTE(SUBSTITUTE(SUBSTITUTE(E8,"st",""),"nd",""),"rd",""),"th",""))</f>
        <v>45964</v>
      </c>
      <c r="P8" t="str">
        <f ca="1">IF(N8&gt;0, _xlfn.RANK.EQ(N8, $N$4:$N$9, 1) + COUNTIFS($N$4:$N$9, N8, $B$4:$B$9, "&gt;" &amp; B8), "")</f>
        <v/>
      </c>
    </row>
    <row r="9" spans="1:17" ht="71" customHeight="1" x14ac:dyDescent="0.35">
      <c r="A9" s="3">
        <f t="shared" si="1"/>
        <v>6</v>
      </c>
      <c r="B9" s="5" t="s">
        <v>42</v>
      </c>
      <c r="C9" s="69" t="s">
        <v>52</v>
      </c>
      <c r="D9" s="124" t="s">
        <v>53</v>
      </c>
      <c r="E9" s="56" t="s">
        <v>55</v>
      </c>
      <c r="F9" s="19" t="s">
        <v>197</v>
      </c>
      <c r="G9" s="3" t="s">
        <v>23</v>
      </c>
      <c r="H9" s="3" t="s">
        <v>17</v>
      </c>
      <c r="I9" s="55" t="s">
        <v>54</v>
      </c>
      <c r="J9" s="9" t="s">
        <v>56</v>
      </c>
      <c r="K9" s="23">
        <v>120000</v>
      </c>
      <c r="L9" s="13" t="s">
        <v>19</v>
      </c>
      <c r="M9" s="64" t="s">
        <v>20</v>
      </c>
      <c r="N9" s="1">
        <f t="shared" ref="N9:N14" ca="1" si="2">O9-TODAY()</f>
        <v>-7</v>
      </c>
      <c r="O9" s="57">
        <f>DATEVALUE(SUBSTITUTE(SUBSTITUTE(SUBSTITUTE(SUBSTITUTE(E9,"st",""),"nd",""),"rd",""),"th",""))</f>
        <v>45966</v>
      </c>
      <c r="P9" t="str">
        <f ca="1">IF(N9&gt;0, _xlfn.RANK.EQ(N9, $N$4:$N$9, 1) + COUNTIFS($N$4:$N$9, N9, $B$4:$B$9, "&gt;" &amp; B9), "")</f>
        <v/>
      </c>
    </row>
    <row r="10" spans="1:17" ht="71" customHeight="1" x14ac:dyDescent="0.35">
      <c r="A10" s="3">
        <f t="shared" si="1"/>
        <v>7</v>
      </c>
      <c r="B10" s="5" t="s">
        <v>21</v>
      </c>
      <c r="C10" s="72" t="s">
        <v>57</v>
      </c>
      <c r="D10" s="25" t="s">
        <v>58</v>
      </c>
      <c r="E10" s="56" t="s">
        <v>59</v>
      </c>
      <c r="F10" s="4" t="s">
        <v>404</v>
      </c>
      <c r="G10" s="3" t="s">
        <v>16</v>
      </c>
      <c r="H10" s="3" t="s">
        <v>24</v>
      </c>
      <c r="I10" s="55" t="s">
        <v>50</v>
      </c>
      <c r="J10" s="9" t="s">
        <v>40</v>
      </c>
      <c r="K10" s="23" t="s">
        <v>27</v>
      </c>
      <c r="L10" s="13" t="s">
        <v>27</v>
      </c>
      <c r="M10" s="64" t="s">
        <v>28</v>
      </c>
      <c r="N10" s="1">
        <f t="shared" ca="1" si="2"/>
        <v>-2</v>
      </c>
      <c r="O10" s="57">
        <f>DATEVALUE(SUBSTITUTE(SUBSTITUTE(SUBSTITUTE(SUBSTITUTE(E10,"st",""),"nd",""),"rd",""),"th",""))</f>
        <v>45971</v>
      </c>
      <c r="P10" t="str">
        <f ca="1">IF(N10&gt;0, _xlfn.RANK.EQ(N10, $N$4:$N$9, 1) + COUNTIFS($N$4:$N$9, N10, $B$4:$B$9, "&gt;" &amp; B10), "")</f>
        <v/>
      </c>
    </row>
    <row r="11" spans="1:17" ht="45.5" customHeight="1" x14ac:dyDescent="0.35">
      <c r="A11" s="3">
        <f t="shared" si="1"/>
        <v>8</v>
      </c>
      <c r="B11" s="3" t="s">
        <v>60</v>
      </c>
      <c r="C11" s="69" t="s">
        <v>61</v>
      </c>
      <c r="D11" s="29" t="s">
        <v>62</v>
      </c>
      <c r="E11" s="56" t="s">
        <v>63</v>
      </c>
      <c r="F11" s="4" t="s">
        <v>409</v>
      </c>
      <c r="G11" s="13" t="s">
        <v>23</v>
      </c>
      <c r="H11" s="13" t="s">
        <v>17</v>
      </c>
      <c r="I11" s="13" t="s">
        <v>50</v>
      </c>
      <c r="J11" s="6" t="s">
        <v>33</v>
      </c>
      <c r="K11" s="67">
        <v>20000</v>
      </c>
      <c r="L11" s="13" t="s">
        <v>19</v>
      </c>
      <c r="M11" s="65" t="s">
        <v>64</v>
      </c>
      <c r="N11" s="1">
        <f ca="1">O11-TODAY()</f>
        <v>-1</v>
      </c>
      <c r="O11" s="57">
        <f>DATEVALUE(SUBSTITUTE(SUBSTITUTE(SUBSTITUTE(SUBSTITUTE(E11,"st",""),"nd",""),"rd",""),"th",""))</f>
        <v>45972</v>
      </c>
      <c r="P11" t="str">
        <f ca="1">IF(N11&gt;0, _xlfn.RANK.EQ(N11, $N$4:$N$9, 1) + COUNTIFS($N$4:$N$9, N11, $B$4:$B$9, "&gt;" &amp; B11), "")</f>
        <v/>
      </c>
    </row>
    <row r="12" spans="1:17" ht="29" x14ac:dyDescent="0.35">
      <c r="A12" s="3">
        <f t="shared" si="1"/>
        <v>9</v>
      </c>
      <c r="B12" s="3" t="s">
        <v>65</v>
      </c>
      <c r="C12" s="69" t="s">
        <v>66</v>
      </c>
      <c r="D12" s="29" t="s">
        <v>67</v>
      </c>
      <c r="E12" s="56" t="s">
        <v>403</v>
      </c>
      <c r="F12" s="19" t="s">
        <v>410</v>
      </c>
      <c r="G12" s="13" t="s">
        <v>16</v>
      </c>
      <c r="H12" s="13" t="s">
        <v>17</v>
      </c>
      <c r="I12" s="13"/>
      <c r="J12" s="6" t="s">
        <v>33</v>
      </c>
      <c r="K12" s="67">
        <v>421225</v>
      </c>
      <c r="L12" s="13" t="s">
        <v>19</v>
      </c>
      <c r="M12" s="65" t="s">
        <v>68</v>
      </c>
      <c r="N12" s="1">
        <f ca="1">O12-TODAY()</f>
        <v>6</v>
      </c>
      <c r="O12" s="57">
        <f>DATEVALUE(SUBSTITUTE(SUBSTITUTE(SUBSTITUTE(SUBSTITUTE(E12,"st",""),"nd",""),"rd",""),"th",""))</f>
        <v>45979</v>
      </c>
      <c r="P12" t="e">
        <f ca="1">IF(N12&gt;0, _xlfn.RANK.EQ(N12, $N$4:$N$9, 1) + COUNTIFS($N$4:$N$9, N12, $B$4:$B$9, "&gt;" &amp; B12), "")</f>
        <v>#N/A</v>
      </c>
    </row>
    <row r="13" spans="1:17" ht="85.5" customHeight="1" x14ac:dyDescent="0.35">
      <c r="A13" s="3">
        <f t="shared" si="1"/>
        <v>10</v>
      </c>
      <c r="B13" s="3" t="s">
        <v>29</v>
      </c>
      <c r="C13" s="70" t="s">
        <v>69</v>
      </c>
      <c r="D13" s="125" t="s">
        <v>70</v>
      </c>
      <c r="E13" s="56" t="s">
        <v>71</v>
      </c>
      <c r="F13" s="4" t="s">
        <v>411</v>
      </c>
      <c r="G13" s="13" t="s">
        <v>16</v>
      </c>
      <c r="H13" s="13" t="s">
        <v>17</v>
      </c>
      <c r="I13" s="13" t="s">
        <v>402</v>
      </c>
      <c r="J13" s="6" t="s">
        <v>33</v>
      </c>
      <c r="K13" s="67">
        <v>20000</v>
      </c>
      <c r="L13" s="13" t="s">
        <v>19</v>
      </c>
      <c r="M13" s="65" t="s">
        <v>34</v>
      </c>
      <c r="N13" s="1">
        <f ca="1">O13-TODAY()</f>
        <v>11</v>
      </c>
      <c r="O13" s="57">
        <f>DATEVALUE(SUBSTITUTE(SUBSTITUTE(SUBSTITUTE(SUBSTITUTE(E13,"st",""),"nd",""),"rd",""),"th",""))</f>
        <v>45984</v>
      </c>
      <c r="P13" t="e">
        <f ca="1">IF(N13&gt;0, _xlfn.RANK.EQ(N13, $N$4:$N$9, 1) + COUNTIFS($N$4:$N$9, N13, $B$4:$B$9, "&gt;" &amp; B13), "")</f>
        <v>#N/A</v>
      </c>
    </row>
    <row r="14" spans="1:17" ht="26" customHeight="1" x14ac:dyDescent="0.35">
      <c r="A14" s="3">
        <f>A54+1</f>
        <v>12</v>
      </c>
      <c r="B14" s="44" t="s">
        <v>77</v>
      </c>
      <c r="C14" s="77"/>
      <c r="D14" s="45" t="s">
        <v>78</v>
      </c>
      <c r="E14" s="78" t="s">
        <v>81</v>
      </c>
      <c r="F14" s="89" t="s">
        <v>408</v>
      </c>
      <c r="G14" s="78" t="s">
        <v>79</v>
      </c>
      <c r="H14" s="44" t="s">
        <v>17</v>
      </c>
      <c r="I14" s="79" t="s">
        <v>80</v>
      </c>
      <c r="J14" s="80" t="s">
        <v>82</v>
      </c>
      <c r="K14" s="81"/>
      <c r="L14" s="79"/>
      <c r="M14" s="82"/>
      <c r="N14" s="83">
        <f t="shared" ca="1" si="2"/>
        <v>-45973</v>
      </c>
      <c r="O14" s="84">
        <f>IFERROR(DATEVALUE(SUBSTITUTE(SUBSTITUTE(SUBSTITUTE(SUBSTITUTE(E14,"st",""),"nd",""),"rd",""),"th","")), 0)</f>
        <v>0</v>
      </c>
      <c r="P14" t="str">
        <f ca="1">IF(N14&gt;0, _xlfn.RANK.EQ(N14, $N$4:$N$9, 1) + COUNTIFS($N$4:$N$9, N14, $B$4:$B$9, "&gt;" &amp; B14), "")</f>
        <v/>
      </c>
    </row>
    <row r="15" spans="1:17" ht="55.25" customHeight="1" x14ac:dyDescent="0.35">
      <c r="A15" s="44">
        <f t="shared" si="1"/>
        <v>13</v>
      </c>
      <c r="B15" s="103" t="s">
        <v>42</v>
      </c>
      <c r="C15" s="103"/>
      <c r="D15" s="126" t="s">
        <v>390</v>
      </c>
      <c r="E15" s="104">
        <v>45972</v>
      </c>
      <c r="F15" s="105" t="s">
        <v>401</v>
      </c>
      <c r="G15" s="106" t="s">
        <v>391</v>
      </c>
      <c r="H15" s="106" t="s">
        <v>17</v>
      </c>
      <c r="I15" s="106" t="s">
        <v>392</v>
      </c>
      <c r="J15" s="107" t="s">
        <v>393</v>
      </c>
      <c r="K15" s="108">
        <v>50000</v>
      </c>
      <c r="L15" s="106" t="s">
        <v>394</v>
      </c>
      <c r="M15" s="109" t="s">
        <v>20</v>
      </c>
      <c r="N15" s="110">
        <f ca="1">O15-TODAY()</f>
        <v>6</v>
      </c>
      <c r="O15" s="111">
        <v>45979</v>
      </c>
    </row>
    <row r="16" spans="1:17" ht="43.5" x14ac:dyDescent="0.35">
      <c r="A16" s="3">
        <f t="shared" si="1"/>
        <v>14</v>
      </c>
      <c r="B16" s="3" t="s">
        <v>375</v>
      </c>
      <c r="C16" s="3"/>
      <c r="D16" s="54" t="s">
        <v>398</v>
      </c>
      <c r="E16" s="56">
        <v>45979</v>
      </c>
      <c r="F16" s="87" t="s">
        <v>412</v>
      </c>
      <c r="G16" s="13" t="s">
        <v>395</v>
      </c>
      <c r="H16" s="13"/>
      <c r="I16" s="13" t="s">
        <v>392</v>
      </c>
      <c r="J16" s="6" t="s">
        <v>396</v>
      </c>
      <c r="K16" s="49"/>
      <c r="L16" s="13"/>
      <c r="M16" s="1"/>
      <c r="N16" s="1"/>
      <c r="O16" s="57"/>
      <c r="P16" s="12"/>
    </row>
    <row r="17" spans="1:16" ht="29" x14ac:dyDescent="0.35">
      <c r="A17" s="3">
        <v>15</v>
      </c>
      <c r="B17" s="3" t="s">
        <v>42</v>
      </c>
      <c r="C17" s="3" t="s">
        <v>406</v>
      </c>
      <c r="D17" s="127" t="s">
        <v>413</v>
      </c>
      <c r="E17" s="112">
        <v>45984</v>
      </c>
      <c r="F17" s="87" t="s">
        <v>407</v>
      </c>
      <c r="G17" s="13" t="s">
        <v>339</v>
      </c>
      <c r="H17" s="13"/>
      <c r="I17" s="13"/>
      <c r="J17" s="56"/>
      <c r="K17" s="6"/>
      <c r="L17" s="49"/>
      <c r="M17" s="13"/>
      <c r="N17" s="1"/>
      <c r="O17" s="1"/>
      <c r="P17" s="57"/>
    </row>
    <row r="18" spans="1:16" x14ac:dyDescent="0.35">
      <c r="A18" s="20"/>
      <c r="B18" s="20"/>
      <c r="C18" s="20"/>
      <c r="D18" s="58"/>
      <c r="F18" s="90"/>
      <c r="G18" s="50"/>
      <c r="H18" s="50"/>
      <c r="I18" s="50"/>
      <c r="J18" s="59"/>
      <c r="K18" s="60"/>
      <c r="L18" s="61"/>
      <c r="M18" s="50"/>
      <c r="N18" s="62"/>
      <c r="O18" s="62"/>
      <c r="P18" s="63"/>
    </row>
    <row r="19" spans="1:16" x14ac:dyDescent="0.35">
      <c r="A19" s="20"/>
      <c r="B19" s="20"/>
      <c r="C19" s="20"/>
      <c r="D19" s="58"/>
      <c r="E19" s="97"/>
      <c r="F19" s="90"/>
      <c r="G19" s="50"/>
      <c r="H19" s="50"/>
      <c r="I19" s="50"/>
      <c r="J19" s="59"/>
      <c r="K19" s="60"/>
      <c r="L19" s="61"/>
      <c r="M19" s="50"/>
      <c r="N19" s="62"/>
      <c r="O19" s="62"/>
      <c r="P19" s="63"/>
    </row>
    <row r="20" spans="1:16" x14ac:dyDescent="0.35">
      <c r="A20" s="20"/>
      <c r="B20" s="20"/>
      <c r="C20" s="20"/>
      <c r="D20" s="51"/>
      <c r="E20" s="98"/>
      <c r="F20" s="91"/>
      <c r="G20" s="20"/>
      <c r="H20" s="20"/>
      <c r="I20" s="50"/>
      <c r="J20" s="20"/>
      <c r="K20" s="15"/>
      <c r="L20" s="41"/>
      <c r="M20" s="52"/>
    </row>
    <row r="21" spans="1:16" x14ac:dyDescent="0.35">
      <c r="B21" s="17" t="s">
        <v>83</v>
      </c>
      <c r="D21" t="s">
        <v>84</v>
      </c>
    </row>
    <row r="22" spans="1:16" x14ac:dyDescent="0.35">
      <c r="A22" s="3">
        <v>1</v>
      </c>
      <c r="B22" s="3" t="s">
        <v>85</v>
      </c>
      <c r="C22" s="3" t="s">
        <v>86</v>
      </c>
      <c r="D22" s="4" t="s">
        <v>87</v>
      </c>
      <c r="E22" s="3"/>
      <c r="F22" s="4"/>
      <c r="G22" s="3" t="s">
        <v>88</v>
      </c>
      <c r="H22" s="3" t="s">
        <v>89</v>
      </c>
      <c r="I22" s="74" t="s">
        <v>90</v>
      </c>
      <c r="J22" s="75"/>
      <c r="K22" s="21"/>
      <c r="L22" s="21"/>
      <c r="M22" s="21"/>
      <c r="N22" s="21"/>
    </row>
    <row r="23" spans="1:16" x14ac:dyDescent="0.35">
      <c r="A23" s="13">
        <v>2</v>
      </c>
      <c r="B23" s="3" t="s">
        <v>91</v>
      </c>
      <c r="C23" s="3" t="s">
        <v>92</v>
      </c>
      <c r="D23" s="4" t="s">
        <v>93</v>
      </c>
      <c r="E23" s="3"/>
      <c r="F23" s="4"/>
      <c r="G23" s="3" t="s">
        <v>88</v>
      </c>
      <c r="H23" s="3" t="s">
        <v>89</v>
      </c>
      <c r="I23" s="74" t="s">
        <v>90</v>
      </c>
      <c r="J23" s="75"/>
    </row>
    <row r="24" spans="1:16" x14ac:dyDescent="0.35">
      <c r="A24" s="3">
        <v>3</v>
      </c>
      <c r="B24" s="3" t="s">
        <v>94</v>
      </c>
      <c r="C24" s="3" t="s">
        <v>95</v>
      </c>
      <c r="D24" s="4" t="s">
        <v>96</v>
      </c>
      <c r="E24" s="3"/>
      <c r="F24" s="4"/>
      <c r="G24" s="3" t="s">
        <v>88</v>
      </c>
      <c r="H24" s="3" t="s">
        <v>89</v>
      </c>
      <c r="I24" s="74" t="s">
        <v>90</v>
      </c>
      <c r="J24" s="75"/>
      <c r="K24" s="20"/>
      <c r="L24" s="14"/>
      <c r="M24" s="15"/>
    </row>
    <row r="25" spans="1:16" x14ac:dyDescent="0.35">
      <c r="A25" s="3">
        <v>4</v>
      </c>
      <c r="B25" s="3" t="s">
        <v>97</v>
      </c>
      <c r="C25" s="3" t="s">
        <v>98</v>
      </c>
      <c r="D25" s="4" t="s">
        <v>99</v>
      </c>
      <c r="E25" s="3"/>
      <c r="F25" s="4"/>
      <c r="G25" s="6" t="s">
        <v>88</v>
      </c>
      <c r="H25" s="3" t="s">
        <v>89</v>
      </c>
      <c r="I25" s="74" t="s">
        <v>90</v>
      </c>
      <c r="J25" s="75"/>
      <c r="K25" s="3" t="s">
        <v>100</v>
      </c>
      <c r="L25" s="10"/>
      <c r="M25" s="8"/>
      <c r="N25" s="8" t="s">
        <v>101</v>
      </c>
    </row>
    <row r="26" spans="1:16" x14ac:dyDescent="0.35">
      <c r="A26" s="3">
        <v>5</v>
      </c>
      <c r="B26" s="3" t="s">
        <v>102</v>
      </c>
      <c r="C26" s="3" t="s">
        <v>103</v>
      </c>
      <c r="D26" s="4" t="s">
        <v>104</v>
      </c>
      <c r="E26" s="3"/>
      <c r="F26" s="4"/>
      <c r="G26" s="3" t="s">
        <v>88</v>
      </c>
      <c r="H26" s="3" t="s">
        <v>89</v>
      </c>
      <c r="I26" s="74" t="s">
        <v>90</v>
      </c>
      <c r="J26" s="75"/>
    </row>
    <row r="27" spans="1:16" x14ac:dyDescent="0.35">
      <c r="A27" s="3">
        <v>6</v>
      </c>
      <c r="B27" s="3" t="s">
        <v>77</v>
      </c>
      <c r="C27" s="3" t="s">
        <v>105</v>
      </c>
      <c r="D27" s="4" t="s">
        <v>106</v>
      </c>
      <c r="E27" s="3"/>
      <c r="F27" s="4"/>
      <c r="G27" s="3" t="s">
        <v>88</v>
      </c>
      <c r="H27" s="3" t="s">
        <v>89</v>
      </c>
      <c r="I27" s="74" t="s">
        <v>90</v>
      </c>
      <c r="J27" s="75"/>
      <c r="K27" s="9">
        <v>900000</v>
      </c>
      <c r="L27" s="12"/>
      <c r="M27" s="12"/>
      <c r="N27" s="12"/>
    </row>
    <row r="28" spans="1:16" x14ac:dyDescent="0.35">
      <c r="A28" s="3">
        <v>7</v>
      </c>
      <c r="B28" s="3" t="s">
        <v>107</v>
      </c>
      <c r="C28" s="3" t="s">
        <v>108</v>
      </c>
      <c r="D28" s="4" t="s">
        <v>109</v>
      </c>
      <c r="E28" s="3"/>
      <c r="F28" s="4"/>
      <c r="G28" s="3" t="s">
        <v>88</v>
      </c>
      <c r="H28" s="3" t="s">
        <v>89</v>
      </c>
      <c r="I28" s="74" t="s">
        <v>90</v>
      </c>
      <c r="J28" s="75"/>
      <c r="K28" s="3" t="s">
        <v>110</v>
      </c>
      <c r="L28" s="11">
        <v>7000</v>
      </c>
      <c r="M28" s="9" t="s">
        <v>19</v>
      </c>
      <c r="N28" s="12" t="s">
        <v>111</v>
      </c>
    </row>
    <row r="29" spans="1:16" x14ac:dyDescent="0.35">
      <c r="A29" s="3">
        <v>8</v>
      </c>
      <c r="B29" s="3" t="s">
        <v>72</v>
      </c>
      <c r="C29" s="3" t="s">
        <v>112</v>
      </c>
      <c r="D29" s="4" t="s">
        <v>113</v>
      </c>
      <c r="E29" s="3"/>
      <c r="F29" s="4"/>
      <c r="G29" s="3" t="s">
        <v>88</v>
      </c>
      <c r="H29" s="3" t="s">
        <v>89</v>
      </c>
      <c r="I29" s="74" t="s">
        <v>90</v>
      </c>
      <c r="J29" s="75"/>
      <c r="K29" s="3"/>
      <c r="L29" s="11">
        <v>150000</v>
      </c>
      <c r="M29" s="9" t="s">
        <v>19</v>
      </c>
      <c r="N29" s="12" t="s">
        <v>114</v>
      </c>
    </row>
    <row r="30" spans="1:16" x14ac:dyDescent="0.35">
      <c r="A30" s="3">
        <v>9</v>
      </c>
      <c r="B30" s="3" t="s">
        <v>42</v>
      </c>
      <c r="C30" s="3" t="s">
        <v>115</v>
      </c>
      <c r="D30" s="4" t="s">
        <v>116</v>
      </c>
      <c r="E30" s="3"/>
      <c r="F30" s="4"/>
      <c r="G30" s="3" t="s">
        <v>88</v>
      </c>
      <c r="H30" s="3" t="s">
        <v>89</v>
      </c>
      <c r="I30" s="74" t="s">
        <v>90</v>
      </c>
      <c r="J30" s="75"/>
      <c r="K30" s="3" t="s">
        <v>117</v>
      </c>
      <c r="L30" s="11">
        <v>70000</v>
      </c>
      <c r="M30" s="9" t="s">
        <v>19</v>
      </c>
      <c r="N30" s="12"/>
    </row>
    <row r="31" spans="1:16" ht="29" x14ac:dyDescent="0.35">
      <c r="A31" s="3">
        <v>10</v>
      </c>
      <c r="B31" s="3" t="s">
        <v>118</v>
      </c>
      <c r="C31" s="3" t="s">
        <v>119</v>
      </c>
      <c r="D31" s="19" t="s">
        <v>120</v>
      </c>
      <c r="E31" s="29"/>
      <c r="F31" s="19"/>
      <c r="G31" s="3" t="s">
        <v>88</v>
      </c>
      <c r="H31" s="3" t="s">
        <v>89</v>
      </c>
      <c r="I31" s="74" t="s">
        <v>90</v>
      </c>
      <c r="J31" s="75"/>
      <c r="K31" s="3" t="s">
        <v>117</v>
      </c>
      <c r="L31" s="12"/>
      <c r="M31" s="12"/>
      <c r="N31" s="12"/>
    </row>
    <row r="32" spans="1:16" x14ac:dyDescent="0.35">
      <c r="A32" s="3">
        <v>11</v>
      </c>
      <c r="B32" s="3" t="s">
        <v>60</v>
      </c>
      <c r="C32" s="3" t="s">
        <v>121</v>
      </c>
      <c r="D32" s="16" t="s">
        <v>122</v>
      </c>
      <c r="E32" s="3"/>
      <c r="F32" s="4"/>
      <c r="G32" s="3" t="s">
        <v>88</v>
      </c>
      <c r="H32" s="3" t="s">
        <v>89</v>
      </c>
      <c r="I32" s="74" t="s">
        <v>90</v>
      </c>
      <c r="J32" s="75"/>
      <c r="K32" s="3" t="s">
        <v>117</v>
      </c>
      <c r="L32" s="13" t="s">
        <v>117</v>
      </c>
      <c r="M32" s="12" t="s">
        <v>117</v>
      </c>
      <c r="N32" s="12"/>
    </row>
    <row r="33" spans="1:14" x14ac:dyDescent="0.35">
      <c r="A33" s="3">
        <v>12</v>
      </c>
      <c r="B33" s="3" t="s">
        <v>123</v>
      </c>
      <c r="C33" s="3" t="s">
        <v>124</v>
      </c>
      <c r="D33" s="16" t="s">
        <v>125</v>
      </c>
      <c r="E33" s="3"/>
      <c r="F33" s="4"/>
      <c r="G33" s="3" t="s">
        <v>88</v>
      </c>
      <c r="H33" s="3" t="s">
        <v>89</v>
      </c>
      <c r="I33" s="74" t="s">
        <v>90</v>
      </c>
      <c r="J33" s="75"/>
      <c r="K33" s="9" t="s">
        <v>40</v>
      </c>
      <c r="L33" s="23"/>
      <c r="M33" s="12"/>
      <c r="N33" s="12"/>
    </row>
    <row r="34" spans="1:14" x14ac:dyDescent="0.35">
      <c r="A34" s="3">
        <v>13</v>
      </c>
      <c r="B34" s="3" t="s">
        <v>126</v>
      </c>
      <c r="C34" s="3" t="s">
        <v>127</v>
      </c>
      <c r="D34" s="25" t="s">
        <v>128</v>
      </c>
      <c r="E34" s="29"/>
      <c r="F34" s="19"/>
      <c r="G34" s="3" t="s">
        <v>88</v>
      </c>
      <c r="H34" s="3" t="s">
        <v>129</v>
      </c>
      <c r="I34" s="74" t="s">
        <v>90</v>
      </c>
      <c r="J34" s="75"/>
      <c r="K34" s="35" t="s">
        <v>33</v>
      </c>
      <c r="L34" s="23">
        <v>50000</v>
      </c>
      <c r="M34" s="13" t="s">
        <v>19</v>
      </c>
      <c r="N34" s="12"/>
    </row>
    <row r="35" spans="1:14" x14ac:dyDescent="0.35">
      <c r="A35" s="3">
        <v>14</v>
      </c>
      <c r="B35" s="3" t="s">
        <v>130</v>
      </c>
      <c r="C35" s="3" t="s">
        <v>131</v>
      </c>
      <c r="D35" s="25" t="s">
        <v>132</v>
      </c>
      <c r="E35" s="29"/>
      <c r="F35" s="19"/>
      <c r="G35" s="3" t="s">
        <v>88</v>
      </c>
      <c r="H35" s="3" t="s">
        <v>17</v>
      </c>
      <c r="I35" s="74" t="s">
        <v>90</v>
      </c>
      <c r="J35" s="75"/>
      <c r="K35" s="9" t="s">
        <v>33</v>
      </c>
      <c r="L35" s="23">
        <v>7500</v>
      </c>
      <c r="M35" s="13" t="s">
        <v>19</v>
      </c>
      <c r="N35" s="12"/>
    </row>
    <row r="36" spans="1:14" x14ac:dyDescent="0.35">
      <c r="A36" s="3">
        <v>15</v>
      </c>
      <c r="B36" s="3" t="s">
        <v>133</v>
      </c>
      <c r="C36" s="3" t="s">
        <v>134</v>
      </c>
      <c r="D36" s="16" t="s">
        <v>135</v>
      </c>
      <c r="E36" s="3"/>
      <c r="F36" s="4"/>
      <c r="G36" s="3" t="s">
        <v>88</v>
      </c>
      <c r="H36" s="3" t="s">
        <v>17</v>
      </c>
      <c r="I36" s="74" t="s">
        <v>90</v>
      </c>
      <c r="J36" s="75"/>
      <c r="K36" s="3" t="s">
        <v>40</v>
      </c>
      <c r="L36" s="13"/>
      <c r="M36" s="12"/>
      <c r="N36" s="12"/>
    </row>
    <row r="37" spans="1:14" x14ac:dyDescent="0.35">
      <c r="A37" s="3">
        <v>16</v>
      </c>
      <c r="B37" s="3" t="s">
        <v>136</v>
      </c>
      <c r="C37" s="3" t="s">
        <v>137</v>
      </c>
      <c r="D37" s="25" t="s">
        <v>138</v>
      </c>
      <c r="E37" s="29"/>
      <c r="F37" s="19"/>
      <c r="G37" s="3" t="s">
        <v>88</v>
      </c>
      <c r="H37" s="3" t="s">
        <v>17</v>
      </c>
      <c r="I37" s="74" t="s">
        <v>90</v>
      </c>
      <c r="J37" s="75"/>
      <c r="K37" s="9" t="s">
        <v>33</v>
      </c>
      <c r="L37" s="23">
        <v>225000</v>
      </c>
      <c r="M37" s="13" t="s">
        <v>19</v>
      </c>
      <c r="N37" s="12"/>
    </row>
    <row r="38" spans="1:14" ht="29" x14ac:dyDescent="0.35">
      <c r="A38" s="3">
        <v>17</v>
      </c>
      <c r="B38" s="3" t="s">
        <v>139</v>
      </c>
      <c r="C38" s="3" t="s">
        <v>140</v>
      </c>
      <c r="D38" s="25" t="s">
        <v>141</v>
      </c>
      <c r="E38" s="29"/>
      <c r="F38" s="19"/>
      <c r="G38" s="3" t="s">
        <v>88</v>
      </c>
      <c r="H38" s="3" t="s">
        <v>17</v>
      </c>
      <c r="I38" s="74" t="s">
        <v>90</v>
      </c>
      <c r="J38" s="75"/>
      <c r="K38" s="9" t="s">
        <v>40</v>
      </c>
      <c r="L38" s="23" t="s">
        <v>27</v>
      </c>
      <c r="M38" s="13" t="s">
        <v>27</v>
      </c>
      <c r="N38" s="12"/>
    </row>
    <row r="39" spans="1:14" x14ac:dyDescent="0.35">
      <c r="A39" s="3">
        <v>18</v>
      </c>
      <c r="B39" s="3" t="s">
        <v>142</v>
      </c>
      <c r="C39" s="3" t="s">
        <v>143</v>
      </c>
      <c r="D39" s="25" t="s">
        <v>144</v>
      </c>
      <c r="E39" s="29"/>
      <c r="F39" s="19"/>
      <c r="G39" s="3" t="s">
        <v>88</v>
      </c>
      <c r="H39" s="3" t="s">
        <v>89</v>
      </c>
      <c r="I39" s="74" t="s">
        <v>90</v>
      </c>
      <c r="J39" s="75"/>
      <c r="K39" s="9" t="s">
        <v>40</v>
      </c>
      <c r="L39" s="23"/>
      <c r="M39" s="13"/>
      <c r="N39" s="12"/>
    </row>
    <row r="40" spans="1:14" x14ac:dyDescent="0.35">
      <c r="A40" s="3">
        <v>19</v>
      </c>
      <c r="B40" s="3" t="s">
        <v>118</v>
      </c>
      <c r="C40" s="3">
        <v>48086</v>
      </c>
      <c r="D40" s="25" t="s">
        <v>145</v>
      </c>
      <c r="E40" s="29"/>
      <c r="F40" s="19"/>
      <c r="G40" s="3" t="s">
        <v>88</v>
      </c>
      <c r="H40" s="3" t="s">
        <v>89</v>
      </c>
      <c r="I40" s="74" t="s">
        <v>90</v>
      </c>
      <c r="J40" s="75"/>
      <c r="K40" s="9" t="s">
        <v>40</v>
      </c>
      <c r="L40" s="23" t="s">
        <v>27</v>
      </c>
      <c r="M40" s="12" t="s">
        <v>27</v>
      </c>
      <c r="N40" s="12"/>
    </row>
    <row r="41" spans="1:14" ht="29" x14ac:dyDescent="0.35">
      <c r="A41" s="3">
        <v>20</v>
      </c>
      <c r="B41" s="3" t="s">
        <v>146</v>
      </c>
      <c r="C41" s="3" t="s">
        <v>147</v>
      </c>
      <c r="D41" s="25" t="s">
        <v>148</v>
      </c>
      <c r="E41" s="29"/>
      <c r="F41" s="19"/>
      <c r="G41" s="3" t="s">
        <v>88</v>
      </c>
      <c r="H41" s="3" t="s">
        <v>89</v>
      </c>
      <c r="I41" s="74" t="s">
        <v>90</v>
      </c>
      <c r="J41" s="75"/>
      <c r="K41" s="9" t="s">
        <v>33</v>
      </c>
      <c r="L41" s="23">
        <v>45500</v>
      </c>
      <c r="M41" s="13" t="s">
        <v>149</v>
      </c>
      <c r="N41" s="12"/>
    </row>
    <row r="42" spans="1:14" x14ac:dyDescent="0.35">
      <c r="A42" s="3">
        <v>21</v>
      </c>
      <c r="B42" s="3" t="s">
        <v>150</v>
      </c>
      <c r="C42" s="3" t="s">
        <v>151</v>
      </c>
      <c r="D42" s="25" t="s">
        <v>152</v>
      </c>
      <c r="E42" s="29"/>
      <c r="F42" s="19"/>
      <c r="G42" s="3" t="s">
        <v>88</v>
      </c>
      <c r="H42" s="3" t="s">
        <v>89</v>
      </c>
      <c r="I42" s="74" t="s">
        <v>90</v>
      </c>
      <c r="J42" s="75"/>
      <c r="K42" s="9" t="s">
        <v>33</v>
      </c>
      <c r="L42" s="23">
        <v>150000</v>
      </c>
      <c r="M42" s="13" t="s">
        <v>19</v>
      </c>
      <c r="N42" s="12"/>
    </row>
    <row r="43" spans="1:14" x14ac:dyDescent="0.35">
      <c r="A43" s="3">
        <v>22</v>
      </c>
      <c r="B43" s="3" t="s">
        <v>42</v>
      </c>
      <c r="C43" s="3" t="s">
        <v>153</v>
      </c>
      <c r="D43" s="25" t="s">
        <v>154</v>
      </c>
      <c r="E43" s="29"/>
      <c r="F43" s="19"/>
      <c r="G43" s="3" t="s">
        <v>155</v>
      </c>
      <c r="H43" s="3" t="s">
        <v>17</v>
      </c>
      <c r="I43" s="13" t="s">
        <v>156</v>
      </c>
      <c r="J43" s="3" t="s">
        <v>157</v>
      </c>
      <c r="K43" s="9" t="s">
        <v>33</v>
      </c>
      <c r="L43" s="23">
        <v>300000</v>
      </c>
      <c r="M43" s="12" t="s">
        <v>19</v>
      </c>
      <c r="N43" s="12"/>
    </row>
    <row r="44" spans="1:14" x14ac:dyDescent="0.35">
      <c r="A44" s="3">
        <v>23</v>
      </c>
      <c r="B44" s="3" t="s">
        <v>42</v>
      </c>
      <c r="C44" s="3" t="s">
        <v>153</v>
      </c>
      <c r="D44" s="25" t="s">
        <v>154</v>
      </c>
      <c r="E44" s="29"/>
      <c r="F44" s="19"/>
      <c r="G44" s="3" t="s">
        <v>155</v>
      </c>
      <c r="H44" s="3" t="s">
        <v>17</v>
      </c>
      <c r="I44" s="13" t="s">
        <v>156</v>
      </c>
      <c r="J44" s="3" t="s">
        <v>157</v>
      </c>
      <c r="K44" s="9" t="s">
        <v>33</v>
      </c>
      <c r="L44" s="23">
        <v>300000</v>
      </c>
      <c r="M44" s="12" t="s">
        <v>19</v>
      </c>
      <c r="N44" s="12"/>
    </row>
    <row r="45" spans="1:14" ht="29" x14ac:dyDescent="0.35">
      <c r="A45" s="3">
        <v>24</v>
      </c>
      <c r="B45" s="3" t="s">
        <v>47</v>
      </c>
      <c r="C45" s="3" t="s">
        <v>158</v>
      </c>
      <c r="D45" s="25" t="s">
        <v>159</v>
      </c>
      <c r="E45" s="29"/>
      <c r="F45" s="19"/>
      <c r="G45" s="3" t="s">
        <v>155</v>
      </c>
      <c r="H45" s="3" t="s">
        <v>17</v>
      </c>
      <c r="I45" s="13" t="s">
        <v>75</v>
      </c>
      <c r="J45" s="3" t="s">
        <v>160</v>
      </c>
      <c r="K45" s="9" t="s">
        <v>33</v>
      </c>
      <c r="L45" s="23">
        <v>82500</v>
      </c>
      <c r="M45" s="43" t="s">
        <v>161</v>
      </c>
    </row>
    <row r="46" spans="1:14" x14ac:dyDescent="0.35">
      <c r="A46" s="3">
        <v>25</v>
      </c>
      <c r="B46" s="3" t="s">
        <v>162</v>
      </c>
      <c r="C46" s="3" t="s">
        <v>163</v>
      </c>
      <c r="D46" s="25" t="s">
        <v>164</v>
      </c>
      <c r="E46" s="29"/>
      <c r="F46" s="19"/>
      <c r="G46" s="3" t="s">
        <v>155</v>
      </c>
      <c r="H46" s="3" t="s">
        <v>17</v>
      </c>
      <c r="I46" s="13" t="s">
        <v>75</v>
      </c>
      <c r="J46" s="3" t="s">
        <v>165</v>
      </c>
      <c r="K46" s="9" t="s">
        <v>33</v>
      </c>
      <c r="L46" s="23">
        <v>45000</v>
      </c>
      <c r="M46" s="43" t="s">
        <v>19</v>
      </c>
    </row>
    <row r="47" spans="1:14" x14ac:dyDescent="0.35">
      <c r="A47" s="3">
        <v>26</v>
      </c>
      <c r="B47" s="3" t="s">
        <v>102</v>
      </c>
      <c r="C47" s="3" t="s">
        <v>166</v>
      </c>
      <c r="D47" s="25" t="s">
        <v>167</v>
      </c>
      <c r="E47" s="29"/>
      <c r="F47" s="19"/>
      <c r="G47" s="3" t="s">
        <v>155</v>
      </c>
      <c r="H47" s="3" t="s">
        <v>17</v>
      </c>
      <c r="I47" s="13" t="s">
        <v>25</v>
      </c>
      <c r="J47" s="3" t="s">
        <v>168</v>
      </c>
      <c r="K47" s="9" t="s">
        <v>33</v>
      </c>
      <c r="L47" s="33">
        <v>40000</v>
      </c>
      <c r="M47" s="43" t="s">
        <v>161</v>
      </c>
      <c r="N47" s="12"/>
    </row>
    <row r="48" spans="1:14" x14ac:dyDescent="0.35">
      <c r="A48" s="13">
        <v>27</v>
      </c>
      <c r="B48" s="13" t="s">
        <v>169</v>
      </c>
      <c r="C48" s="13" t="s">
        <v>170</v>
      </c>
      <c r="D48" s="12" t="s">
        <v>171</v>
      </c>
      <c r="E48" s="6"/>
      <c r="F48" s="93"/>
      <c r="G48" s="6" t="s">
        <v>155</v>
      </c>
      <c r="H48" s="13" t="s">
        <v>129</v>
      </c>
      <c r="I48" s="6" t="s">
        <v>129</v>
      </c>
      <c r="J48" s="6" t="s">
        <v>172</v>
      </c>
      <c r="K48" s="6" t="s">
        <v>33</v>
      </c>
      <c r="L48" s="6">
        <v>30000</v>
      </c>
      <c r="M48" s="12" t="s">
        <v>19</v>
      </c>
      <c r="N48" s="12"/>
    </row>
    <row r="49" spans="1:16" x14ac:dyDescent="0.35">
      <c r="A49" s="13">
        <v>28</v>
      </c>
      <c r="B49" s="13" t="s">
        <v>173</v>
      </c>
      <c r="C49" s="13" t="s">
        <v>174</v>
      </c>
      <c r="D49" s="12" t="s">
        <v>175</v>
      </c>
      <c r="E49" s="6"/>
      <c r="F49" s="93"/>
      <c r="G49" s="6" t="s">
        <v>155</v>
      </c>
      <c r="H49" s="13" t="s">
        <v>24</v>
      </c>
      <c r="I49" s="6" t="s">
        <v>176</v>
      </c>
      <c r="J49" s="6" t="s">
        <v>177</v>
      </c>
      <c r="K49" s="6" t="s">
        <v>33</v>
      </c>
      <c r="L49" s="6">
        <v>10800</v>
      </c>
      <c r="M49" s="12"/>
      <c r="N49" s="12"/>
    </row>
    <row r="50" spans="1:16" ht="58" x14ac:dyDescent="0.35">
      <c r="A50" s="3">
        <v>29</v>
      </c>
      <c r="B50" s="3" t="s">
        <v>178</v>
      </c>
      <c r="C50" s="3" t="s">
        <v>179</v>
      </c>
      <c r="D50" s="25" t="s">
        <v>180</v>
      </c>
      <c r="E50" s="29"/>
      <c r="F50" s="19"/>
      <c r="G50" s="6" t="s">
        <v>155</v>
      </c>
      <c r="H50" s="3" t="s">
        <v>17</v>
      </c>
      <c r="I50" s="13" t="s">
        <v>181</v>
      </c>
      <c r="J50" s="3" t="s">
        <v>182</v>
      </c>
      <c r="K50" s="9" t="s">
        <v>183</v>
      </c>
      <c r="L50" s="23"/>
      <c r="M50" s="43"/>
      <c r="N50" s="12"/>
    </row>
    <row r="51" spans="1:16" x14ac:dyDescent="0.35">
      <c r="A51" s="13">
        <v>30</v>
      </c>
      <c r="B51" s="13" t="s">
        <v>184</v>
      </c>
      <c r="C51" s="13" t="s">
        <v>185</v>
      </c>
      <c r="D51" s="12" t="s">
        <v>186</v>
      </c>
      <c r="E51" s="6"/>
      <c r="F51" s="93"/>
      <c r="G51" s="6" t="s">
        <v>155</v>
      </c>
      <c r="H51" s="13" t="s">
        <v>17</v>
      </c>
      <c r="I51" s="6" t="s">
        <v>25</v>
      </c>
      <c r="J51" s="6" t="s">
        <v>187</v>
      </c>
      <c r="K51" s="6" t="s">
        <v>33</v>
      </c>
      <c r="L51" s="6">
        <v>80000</v>
      </c>
      <c r="M51" s="12" t="s">
        <v>19</v>
      </c>
      <c r="N51" s="12"/>
    </row>
    <row r="52" spans="1:16" ht="43.5" x14ac:dyDescent="0.35">
      <c r="A52" s="3">
        <v>31</v>
      </c>
      <c r="B52" s="3" t="s">
        <v>21</v>
      </c>
      <c r="C52" s="3">
        <v>48150</v>
      </c>
      <c r="D52" s="25" t="s">
        <v>188</v>
      </c>
      <c r="E52" s="29"/>
      <c r="F52" s="19"/>
      <c r="G52" s="3" t="s">
        <v>155</v>
      </c>
      <c r="H52" s="3" t="s">
        <v>24</v>
      </c>
      <c r="I52" s="13" t="s">
        <v>129</v>
      </c>
      <c r="J52" s="3" t="s">
        <v>189</v>
      </c>
      <c r="K52" s="9" t="s">
        <v>190</v>
      </c>
      <c r="L52" s="23" t="s">
        <v>27</v>
      </c>
      <c r="M52" s="43"/>
    </row>
    <row r="53" spans="1:16" ht="47.5" customHeight="1" x14ac:dyDescent="0.35">
      <c r="A53" s="3">
        <v>32</v>
      </c>
      <c r="B53" s="13" t="s">
        <v>21</v>
      </c>
      <c r="C53" s="13">
        <v>48148</v>
      </c>
      <c r="D53" s="54" t="s">
        <v>22</v>
      </c>
      <c r="E53" s="99"/>
      <c r="F53" s="87"/>
      <c r="G53" s="13" t="s">
        <v>23</v>
      </c>
      <c r="H53" s="13" t="s">
        <v>24</v>
      </c>
      <c r="I53" s="13" t="s">
        <v>25</v>
      </c>
      <c r="J53" s="3" t="s">
        <v>191</v>
      </c>
    </row>
    <row r="54" spans="1:16" x14ac:dyDescent="0.35">
      <c r="A54" s="3">
        <f>A13+1</f>
        <v>11</v>
      </c>
      <c r="B54" s="3" t="s">
        <v>72</v>
      </c>
      <c r="C54" s="71" t="s">
        <v>73</v>
      </c>
      <c r="D54" s="3" t="s">
        <v>74</v>
      </c>
      <c r="E54" s="56" t="s">
        <v>76</v>
      </c>
      <c r="F54" s="4"/>
      <c r="G54" s="13" t="s">
        <v>16</v>
      </c>
      <c r="H54" s="13" t="s">
        <v>17</v>
      </c>
      <c r="I54" s="74" t="s">
        <v>90</v>
      </c>
      <c r="J54" s="75"/>
      <c r="K54" s="67">
        <v>150000</v>
      </c>
      <c r="L54" s="13" t="s">
        <v>19</v>
      </c>
      <c r="M54" s="65" t="s">
        <v>20</v>
      </c>
      <c r="N54" s="121"/>
      <c r="O54" s="121"/>
      <c r="P54" t="e">
        <f>IF(#REF!&gt;0, _xlfn.RANK.EQ(#REF!, $N$4:$N$9, 1) + COUNTIFS($N$4:$N$9,#REF!, $B$4:$B$9, "&gt;" &amp; B54), "")</f>
        <v>#REF!</v>
      </c>
    </row>
    <row r="55" spans="1:16" x14ac:dyDescent="0.35">
      <c r="A55" s="113"/>
      <c r="B55" s="113"/>
      <c r="C55" s="71"/>
      <c r="D55" s="119"/>
      <c r="E55" s="120"/>
      <c r="F55" s="115"/>
      <c r="G55" s="114"/>
      <c r="H55" s="114"/>
      <c r="I55" s="114"/>
      <c r="J55" s="116"/>
      <c r="K55" s="117"/>
      <c r="L55" s="114"/>
      <c r="M55" s="118"/>
      <c r="N55" s="122"/>
    </row>
    <row r="56" spans="1:16" x14ac:dyDescent="0.35">
      <c r="A56" s="113"/>
      <c r="B56" s="113"/>
      <c r="C56" s="71"/>
      <c r="D56" s="119"/>
      <c r="E56" s="120"/>
      <c r="F56" s="115"/>
      <c r="G56" s="114"/>
      <c r="H56" s="114"/>
      <c r="I56" s="114"/>
      <c r="J56" s="116"/>
      <c r="K56" s="117"/>
      <c r="L56" s="114"/>
      <c r="M56" s="118"/>
      <c r="N56" s="122"/>
    </row>
    <row r="57" spans="1:16" x14ac:dyDescent="0.35">
      <c r="A57" s="113"/>
      <c r="B57" s="113"/>
      <c r="C57" s="71"/>
      <c r="D57" s="119"/>
      <c r="E57" s="120"/>
      <c r="F57" s="115"/>
      <c r="G57" s="114"/>
      <c r="H57" s="114"/>
      <c r="I57" s="114"/>
      <c r="J57" s="116"/>
      <c r="K57" s="117"/>
      <c r="L57" s="114"/>
      <c r="M57" s="118"/>
      <c r="N57" s="122"/>
    </row>
    <row r="58" spans="1:16" x14ac:dyDescent="0.35">
      <c r="A58" s="113"/>
      <c r="B58" s="113"/>
      <c r="C58" s="71"/>
      <c r="D58" s="119"/>
      <c r="E58" s="120"/>
      <c r="F58" s="115"/>
      <c r="G58" s="114"/>
      <c r="H58" s="114"/>
      <c r="I58" s="114"/>
      <c r="J58" s="116"/>
      <c r="K58" s="117"/>
      <c r="L58" s="114"/>
      <c r="M58" s="118"/>
      <c r="N58" s="122"/>
    </row>
    <row r="59" spans="1:16" x14ac:dyDescent="0.35">
      <c r="A59" s="113"/>
      <c r="B59" s="113"/>
      <c r="C59" s="71"/>
      <c r="D59" s="119"/>
      <c r="E59" s="120"/>
      <c r="F59" s="115"/>
      <c r="G59" s="114"/>
      <c r="H59" s="114"/>
      <c r="I59" s="114"/>
      <c r="J59" s="116"/>
      <c r="K59" s="117"/>
      <c r="L59" s="114"/>
      <c r="M59" s="118"/>
      <c r="N59" s="122"/>
    </row>
    <row r="60" spans="1:16" x14ac:dyDescent="0.35">
      <c r="A60" s="113"/>
      <c r="B60" s="113"/>
      <c r="C60" s="71"/>
      <c r="D60" s="119"/>
      <c r="E60" s="120"/>
      <c r="F60" s="115"/>
      <c r="G60" s="114"/>
      <c r="H60" s="114"/>
      <c r="I60" s="114"/>
      <c r="J60" s="116"/>
      <c r="K60" s="117"/>
      <c r="L60" s="114"/>
      <c r="M60" s="118"/>
      <c r="N60" s="122"/>
    </row>
    <row r="61" spans="1:16" x14ac:dyDescent="0.35">
      <c r="A61" s="113"/>
      <c r="B61" s="113"/>
      <c r="C61" s="71"/>
      <c r="D61" s="119"/>
      <c r="E61" s="120"/>
      <c r="F61" s="115"/>
      <c r="G61" s="114"/>
      <c r="H61" s="114"/>
      <c r="I61" s="114"/>
      <c r="J61" s="116"/>
      <c r="K61" s="117"/>
      <c r="L61" s="114"/>
      <c r="M61" s="118"/>
      <c r="N61" s="122"/>
    </row>
    <row r="62" spans="1:16" x14ac:dyDescent="0.35">
      <c r="A62" s="113"/>
      <c r="B62" s="113"/>
      <c r="C62" s="71"/>
      <c r="D62" s="119"/>
      <c r="E62" s="120"/>
      <c r="F62" s="115"/>
      <c r="G62" s="114"/>
      <c r="H62" s="114"/>
      <c r="I62" s="114"/>
      <c r="J62" s="116"/>
      <c r="K62" s="117"/>
      <c r="L62" s="114"/>
      <c r="M62" s="118"/>
      <c r="N62" s="122"/>
    </row>
    <row r="64" spans="1:16" x14ac:dyDescent="0.35">
      <c r="B64" s="18" t="s">
        <v>192</v>
      </c>
      <c r="N64" s="1" t="s">
        <v>193</v>
      </c>
    </row>
    <row r="65" spans="1:14" ht="26" x14ac:dyDescent="0.35">
      <c r="A65" s="2" t="s">
        <v>1</v>
      </c>
      <c r="B65" s="2" t="s">
        <v>2</v>
      </c>
      <c r="C65" s="1" t="s">
        <v>3</v>
      </c>
      <c r="D65" s="1" t="s">
        <v>4</v>
      </c>
      <c r="E65" s="1"/>
      <c r="F65" s="86"/>
      <c r="G65" s="1" t="s">
        <v>5</v>
      </c>
      <c r="H65" s="1" t="s">
        <v>6</v>
      </c>
      <c r="I65" s="1" t="s">
        <v>194</v>
      </c>
      <c r="J65" s="1" t="s">
        <v>8</v>
      </c>
      <c r="K65" s="1" t="s">
        <v>9</v>
      </c>
      <c r="L65" s="7" t="s">
        <v>10</v>
      </c>
      <c r="M65" s="1" t="s">
        <v>11</v>
      </c>
      <c r="N65" s="27"/>
    </row>
    <row r="66" spans="1:14" x14ac:dyDescent="0.35">
      <c r="A66" s="3">
        <v>1</v>
      </c>
      <c r="B66" s="3" t="s">
        <v>94</v>
      </c>
      <c r="C66" s="3" t="s">
        <v>195</v>
      </c>
      <c r="D66" s="4" t="s">
        <v>196</v>
      </c>
      <c r="E66" s="3"/>
      <c r="F66" s="4"/>
      <c r="G66" s="3" t="s">
        <v>197</v>
      </c>
      <c r="H66" s="3" t="s">
        <v>129</v>
      </c>
      <c r="I66" s="3" t="s">
        <v>198</v>
      </c>
      <c r="J66" s="3" t="s">
        <v>199</v>
      </c>
      <c r="K66" s="3"/>
      <c r="L66" s="26"/>
      <c r="M66" s="9"/>
      <c r="N66" s="1"/>
    </row>
    <row r="67" spans="1:14" x14ac:dyDescent="0.35">
      <c r="A67" s="28">
        <v>2</v>
      </c>
      <c r="B67" s="28" t="s">
        <v>118</v>
      </c>
      <c r="C67" s="3" t="s">
        <v>200</v>
      </c>
      <c r="D67" s="16" t="s">
        <v>201</v>
      </c>
      <c r="E67" s="3"/>
      <c r="F67" s="4"/>
      <c r="G67" s="3" t="s">
        <v>197</v>
      </c>
      <c r="H67" s="3" t="s">
        <v>50</v>
      </c>
      <c r="I67" s="3" t="s">
        <v>176</v>
      </c>
      <c r="J67" s="3" t="s">
        <v>202</v>
      </c>
      <c r="K67" s="3"/>
      <c r="L67" s="29"/>
      <c r="M67" s="3"/>
      <c r="N67" s="31"/>
    </row>
    <row r="68" spans="1:14" x14ac:dyDescent="0.35">
      <c r="A68" s="3">
        <v>3</v>
      </c>
      <c r="B68" s="3" t="s">
        <v>118</v>
      </c>
      <c r="C68" s="3" t="s">
        <v>203</v>
      </c>
      <c r="D68" s="4" t="s">
        <v>204</v>
      </c>
      <c r="E68" s="3"/>
      <c r="F68" s="4"/>
      <c r="G68" s="13" t="s">
        <v>197</v>
      </c>
      <c r="H68" s="3" t="s">
        <v>17</v>
      </c>
      <c r="I68" s="3" t="s">
        <v>205</v>
      </c>
      <c r="J68" s="3" t="s">
        <v>206</v>
      </c>
      <c r="K68" s="3"/>
      <c r="L68" s="30"/>
      <c r="M68" s="9"/>
      <c r="N68" s="13"/>
    </row>
    <row r="69" spans="1:14" x14ac:dyDescent="0.35">
      <c r="A69" s="13">
        <v>4</v>
      </c>
      <c r="B69" s="13" t="s">
        <v>107</v>
      </c>
      <c r="C69" s="13" t="s">
        <v>207</v>
      </c>
      <c r="D69" s="32" t="s">
        <v>208</v>
      </c>
      <c r="E69" s="13"/>
      <c r="F69" s="43"/>
      <c r="G69" s="13" t="s">
        <v>197</v>
      </c>
      <c r="H69" s="3" t="s">
        <v>50</v>
      </c>
      <c r="I69" s="13" t="s">
        <v>50</v>
      </c>
      <c r="J69" s="13" t="s">
        <v>206</v>
      </c>
      <c r="K69" s="13"/>
      <c r="L69" s="13"/>
      <c r="M69" s="13"/>
      <c r="N69" s="3"/>
    </row>
    <row r="70" spans="1:14" x14ac:dyDescent="0.35">
      <c r="A70" s="3">
        <v>5</v>
      </c>
      <c r="B70" s="3" t="s">
        <v>107</v>
      </c>
      <c r="C70" s="3" t="s">
        <v>209</v>
      </c>
      <c r="D70" s="4" t="s">
        <v>210</v>
      </c>
      <c r="E70" s="3"/>
      <c r="F70" s="4"/>
      <c r="G70" s="13" t="s">
        <v>197</v>
      </c>
      <c r="H70" s="3" t="s">
        <v>50</v>
      </c>
      <c r="I70" s="3" t="s">
        <v>50</v>
      </c>
      <c r="J70" s="3" t="s">
        <v>211</v>
      </c>
      <c r="K70" s="3"/>
      <c r="L70" s="3"/>
      <c r="M70" s="9"/>
      <c r="N70" s="12"/>
    </row>
    <row r="71" spans="1:14" x14ac:dyDescent="0.35">
      <c r="A71" s="3">
        <v>6</v>
      </c>
      <c r="B71" s="3" t="s">
        <v>212</v>
      </c>
      <c r="C71" s="3" t="s">
        <v>213</v>
      </c>
      <c r="D71" s="4" t="s">
        <v>214</v>
      </c>
      <c r="E71" s="3"/>
      <c r="F71" s="4"/>
      <c r="G71" s="3" t="s">
        <v>197</v>
      </c>
      <c r="H71" s="3" t="s">
        <v>17</v>
      </c>
      <c r="I71" s="13" t="s">
        <v>215</v>
      </c>
      <c r="J71" s="3" t="s">
        <v>216</v>
      </c>
      <c r="K71" s="3"/>
      <c r="L71" s="12"/>
      <c r="M71" s="12"/>
      <c r="N71" s="12"/>
    </row>
    <row r="72" spans="1:14" ht="29" x14ac:dyDescent="0.35">
      <c r="A72" s="3">
        <v>7</v>
      </c>
      <c r="B72" s="3" t="s">
        <v>184</v>
      </c>
      <c r="C72" s="3" t="s">
        <v>217</v>
      </c>
      <c r="D72" s="19" t="s">
        <v>218</v>
      </c>
      <c r="E72" s="29"/>
      <c r="F72" s="19"/>
      <c r="G72" s="3" t="s">
        <v>197</v>
      </c>
      <c r="H72" s="3" t="s">
        <v>17</v>
      </c>
      <c r="I72" s="13" t="s">
        <v>50</v>
      </c>
      <c r="J72" s="3" t="s">
        <v>216</v>
      </c>
      <c r="K72" s="3"/>
      <c r="L72" s="9"/>
      <c r="M72" s="9"/>
      <c r="N72" s="12"/>
    </row>
    <row r="73" spans="1:14" x14ac:dyDescent="0.35">
      <c r="A73" s="3">
        <v>8</v>
      </c>
      <c r="B73" s="3" t="s">
        <v>123</v>
      </c>
      <c r="C73" s="3" t="s">
        <v>219</v>
      </c>
      <c r="D73" s="25" t="s">
        <v>220</v>
      </c>
      <c r="E73" s="29"/>
      <c r="F73" s="19"/>
      <c r="G73" s="3" t="s">
        <v>197</v>
      </c>
      <c r="H73" s="3" t="s">
        <v>50</v>
      </c>
      <c r="I73" s="13" t="s">
        <v>50</v>
      </c>
      <c r="J73" s="3" t="s">
        <v>221</v>
      </c>
      <c r="K73" s="9" t="s">
        <v>40</v>
      </c>
      <c r="L73" s="33"/>
      <c r="M73" s="12"/>
      <c r="N73" s="12"/>
    </row>
    <row r="74" spans="1:14" x14ac:dyDescent="0.35">
      <c r="A74" s="3">
        <v>9</v>
      </c>
      <c r="B74" s="3" t="s">
        <v>222</v>
      </c>
      <c r="C74" s="3" t="s">
        <v>223</v>
      </c>
      <c r="D74" s="25" t="s">
        <v>224</v>
      </c>
      <c r="E74" s="29"/>
      <c r="F74" s="19"/>
      <c r="G74" s="3" t="s">
        <v>197</v>
      </c>
      <c r="H74" s="3" t="s">
        <v>37</v>
      </c>
      <c r="I74" s="13" t="s">
        <v>225</v>
      </c>
      <c r="J74" s="3" t="s">
        <v>221</v>
      </c>
      <c r="K74" s="9" t="s">
        <v>40</v>
      </c>
      <c r="L74" s="33" t="s">
        <v>226</v>
      </c>
      <c r="M74" s="12" t="s">
        <v>226</v>
      </c>
      <c r="N74" s="12"/>
    </row>
    <row r="75" spans="1:14" x14ac:dyDescent="0.35">
      <c r="A75" s="3">
        <v>10</v>
      </c>
      <c r="B75" s="3" t="s">
        <v>227</v>
      </c>
      <c r="C75" s="3" t="s">
        <v>228</v>
      </c>
      <c r="D75" s="25" t="s">
        <v>229</v>
      </c>
      <c r="E75" s="29"/>
      <c r="F75" s="19"/>
      <c r="G75" s="3" t="s">
        <v>197</v>
      </c>
      <c r="H75" s="3" t="s">
        <v>17</v>
      </c>
      <c r="I75" s="13" t="s">
        <v>25</v>
      </c>
      <c r="J75" s="22" t="s">
        <v>230</v>
      </c>
      <c r="K75" s="9" t="s">
        <v>56</v>
      </c>
      <c r="L75" s="23">
        <v>200000</v>
      </c>
      <c r="M75" s="12" t="s">
        <v>19</v>
      </c>
      <c r="N75" s="12"/>
    </row>
    <row r="76" spans="1:14" ht="43.5" x14ac:dyDescent="0.35">
      <c r="A76" s="3">
        <v>11</v>
      </c>
      <c r="B76" s="3" t="s">
        <v>139</v>
      </c>
      <c r="C76" s="3" t="s">
        <v>231</v>
      </c>
      <c r="D76" s="25" t="s">
        <v>232</v>
      </c>
      <c r="E76" s="29"/>
      <c r="F76" s="19"/>
      <c r="G76" s="3" t="s">
        <v>197</v>
      </c>
      <c r="H76" s="3" t="s">
        <v>17</v>
      </c>
      <c r="I76" s="13" t="s">
        <v>233</v>
      </c>
      <c r="J76" s="22" t="s">
        <v>234</v>
      </c>
      <c r="K76" s="9" t="s">
        <v>16</v>
      </c>
      <c r="L76" s="24">
        <v>25000</v>
      </c>
      <c r="M76" s="12" t="s">
        <v>19</v>
      </c>
      <c r="N76" s="12"/>
    </row>
    <row r="77" spans="1:14" x14ac:dyDescent="0.35">
      <c r="A77" s="3">
        <v>12</v>
      </c>
      <c r="B77" s="5" t="s">
        <v>118</v>
      </c>
      <c r="C77" s="3">
        <v>48078</v>
      </c>
      <c r="D77" s="25" t="s">
        <v>235</v>
      </c>
      <c r="E77" s="29"/>
      <c r="F77" s="19"/>
      <c r="G77" s="3" t="s">
        <v>197</v>
      </c>
      <c r="H77" s="3" t="s">
        <v>37</v>
      </c>
      <c r="I77" s="6" t="s">
        <v>50</v>
      </c>
      <c r="J77" s="5" t="s">
        <v>236</v>
      </c>
      <c r="K77" s="9" t="s">
        <v>40</v>
      </c>
      <c r="L77" s="13"/>
      <c r="M77" s="12"/>
      <c r="N77" s="12"/>
    </row>
    <row r="78" spans="1:14" x14ac:dyDescent="0.35">
      <c r="A78" s="3">
        <v>13</v>
      </c>
      <c r="B78" s="5" t="s">
        <v>118</v>
      </c>
      <c r="C78" s="3">
        <v>48081</v>
      </c>
      <c r="D78" s="25" t="s">
        <v>237</v>
      </c>
      <c r="E78" s="29"/>
      <c r="F78" s="19"/>
      <c r="G78" s="3" t="s">
        <v>197</v>
      </c>
      <c r="H78" s="3" t="s">
        <v>37</v>
      </c>
      <c r="I78" s="13" t="s">
        <v>50</v>
      </c>
      <c r="J78" s="5" t="s">
        <v>238</v>
      </c>
      <c r="K78" s="9" t="s">
        <v>40</v>
      </c>
      <c r="L78" s="23" t="s">
        <v>27</v>
      </c>
      <c r="M78" s="12" t="s">
        <v>27</v>
      </c>
      <c r="N78" s="12"/>
    </row>
    <row r="79" spans="1:14" x14ac:dyDescent="0.35">
      <c r="A79" s="3">
        <v>14</v>
      </c>
      <c r="B79" s="5" t="s">
        <v>239</v>
      </c>
      <c r="C79" s="3" t="s">
        <v>240</v>
      </c>
      <c r="D79" s="25" t="s">
        <v>241</v>
      </c>
      <c r="E79" s="29"/>
      <c r="F79" s="19"/>
      <c r="G79" s="3" t="s">
        <v>197</v>
      </c>
      <c r="H79" s="3" t="s">
        <v>17</v>
      </c>
      <c r="I79" s="13" t="s">
        <v>242</v>
      </c>
      <c r="J79" s="5" t="s">
        <v>243</v>
      </c>
      <c r="K79" s="35" t="s">
        <v>197</v>
      </c>
      <c r="L79" s="23">
        <v>47000</v>
      </c>
      <c r="M79" s="13" t="s">
        <v>19</v>
      </c>
      <c r="N79" s="12"/>
    </row>
    <row r="80" spans="1:14" x14ac:dyDescent="0.35">
      <c r="A80" s="3">
        <v>15</v>
      </c>
      <c r="B80" s="5" t="s">
        <v>184</v>
      </c>
      <c r="C80" s="3" t="s">
        <v>244</v>
      </c>
      <c r="D80" s="25" t="s">
        <v>245</v>
      </c>
      <c r="E80" s="29"/>
      <c r="F80" s="19"/>
      <c r="G80" s="3" t="s">
        <v>197</v>
      </c>
      <c r="H80" s="3" t="s">
        <v>17</v>
      </c>
      <c r="I80" s="13" t="s">
        <v>176</v>
      </c>
      <c r="J80" s="5" t="s">
        <v>246</v>
      </c>
      <c r="K80" s="35" t="s">
        <v>197</v>
      </c>
      <c r="L80" s="23">
        <v>30000</v>
      </c>
      <c r="M80" s="13" t="s">
        <v>19</v>
      </c>
      <c r="N80" s="12"/>
    </row>
    <row r="81" spans="1:14" x14ac:dyDescent="0.35">
      <c r="A81" s="3">
        <v>16</v>
      </c>
      <c r="B81" s="5" t="s">
        <v>247</v>
      </c>
      <c r="C81" s="3" t="s">
        <v>248</v>
      </c>
      <c r="D81" s="25" t="s">
        <v>249</v>
      </c>
      <c r="E81" s="29"/>
      <c r="F81" s="19"/>
      <c r="G81" s="3" t="s">
        <v>197</v>
      </c>
      <c r="H81" s="3" t="s">
        <v>17</v>
      </c>
      <c r="I81" s="13" t="s">
        <v>250</v>
      </c>
      <c r="J81" s="5" t="s">
        <v>251</v>
      </c>
      <c r="K81" s="35" t="s">
        <v>40</v>
      </c>
      <c r="L81" s="23"/>
      <c r="M81" s="13"/>
      <c r="N81" s="12"/>
    </row>
    <row r="82" spans="1:14" x14ac:dyDescent="0.35">
      <c r="A82" s="3">
        <v>17</v>
      </c>
      <c r="B82" s="5" t="s">
        <v>252</v>
      </c>
      <c r="C82" s="3" t="s">
        <v>253</v>
      </c>
      <c r="D82" s="25" t="s">
        <v>254</v>
      </c>
      <c r="E82" s="29"/>
      <c r="F82" s="19"/>
      <c r="G82" s="3" t="s">
        <v>197</v>
      </c>
      <c r="H82" s="3" t="s">
        <v>17</v>
      </c>
      <c r="I82" s="13" t="s">
        <v>250</v>
      </c>
      <c r="J82" s="5" t="s">
        <v>255</v>
      </c>
      <c r="K82" s="35" t="s">
        <v>197</v>
      </c>
      <c r="L82" s="23">
        <v>550000</v>
      </c>
      <c r="M82" s="13" t="s">
        <v>149</v>
      </c>
      <c r="N82" s="12"/>
    </row>
    <row r="83" spans="1:14" x14ac:dyDescent="0.35">
      <c r="A83" s="3">
        <v>18</v>
      </c>
      <c r="B83" s="5" t="s">
        <v>252</v>
      </c>
      <c r="C83" s="3" t="s">
        <v>256</v>
      </c>
      <c r="D83" s="25" t="s">
        <v>257</v>
      </c>
      <c r="E83" s="29"/>
      <c r="F83" s="19"/>
      <c r="G83" s="3" t="s">
        <v>197</v>
      </c>
      <c r="H83" s="3" t="s">
        <v>17</v>
      </c>
      <c r="I83" s="13" t="s">
        <v>25</v>
      </c>
      <c r="J83" s="5" t="s">
        <v>258</v>
      </c>
      <c r="K83" s="35" t="s">
        <v>197</v>
      </c>
      <c r="L83" s="23">
        <v>250000</v>
      </c>
      <c r="M83" s="13" t="s">
        <v>149</v>
      </c>
      <c r="N83" s="12"/>
    </row>
    <row r="84" spans="1:14" ht="43.5" x14ac:dyDescent="0.35">
      <c r="A84" s="36">
        <v>19</v>
      </c>
      <c r="B84" s="44" t="s">
        <v>118</v>
      </c>
      <c r="C84" s="44" t="s">
        <v>259</v>
      </c>
      <c r="D84" s="45" t="s">
        <v>260</v>
      </c>
      <c r="E84" s="100"/>
      <c r="F84" s="94"/>
      <c r="G84" s="36" t="s">
        <v>197</v>
      </c>
      <c r="H84" s="36" t="s">
        <v>129</v>
      </c>
      <c r="I84" s="37" t="s">
        <v>261</v>
      </c>
      <c r="J84" s="38" t="s">
        <v>262</v>
      </c>
      <c r="K84" s="39" t="s">
        <v>197</v>
      </c>
      <c r="L84" s="40">
        <v>80000</v>
      </c>
      <c r="M84" s="37" t="s">
        <v>19</v>
      </c>
      <c r="N84" s="12"/>
    </row>
    <row r="85" spans="1:14" ht="29" x14ac:dyDescent="0.35">
      <c r="A85" s="3">
        <v>20</v>
      </c>
      <c r="B85" s="3" t="s">
        <v>118</v>
      </c>
      <c r="C85" s="3" t="s">
        <v>263</v>
      </c>
      <c r="D85" s="25" t="s">
        <v>264</v>
      </c>
      <c r="E85" s="29"/>
      <c r="F85" s="19"/>
      <c r="G85" s="3" t="s">
        <v>197</v>
      </c>
      <c r="H85" s="3" t="s">
        <v>37</v>
      </c>
      <c r="I85" s="13" t="s">
        <v>242</v>
      </c>
      <c r="J85" s="5" t="s">
        <v>262</v>
      </c>
      <c r="K85" s="35" t="s">
        <v>197</v>
      </c>
      <c r="L85" s="33">
        <v>25000</v>
      </c>
      <c r="M85" s="13" t="s">
        <v>19</v>
      </c>
      <c r="N85" s="12"/>
    </row>
    <row r="86" spans="1:14" x14ac:dyDescent="0.35">
      <c r="A86" s="3">
        <v>21</v>
      </c>
      <c r="B86" s="3" t="s">
        <v>265</v>
      </c>
      <c r="C86" s="3" t="s">
        <v>266</v>
      </c>
      <c r="D86" s="25" t="s">
        <v>267</v>
      </c>
      <c r="E86" s="29"/>
      <c r="F86" s="19"/>
      <c r="G86" s="3" t="s">
        <v>197</v>
      </c>
      <c r="H86" s="3" t="s">
        <v>17</v>
      </c>
      <c r="I86" s="13" t="s">
        <v>242</v>
      </c>
      <c r="J86" s="34" t="s">
        <v>268</v>
      </c>
      <c r="K86" s="9" t="s">
        <v>40</v>
      </c>
      <c r="L86" s="23" t="s">
        <v>27</v>
      </c>
      <c r="M86" s="13"/>
      <c r="N86" s="12"/>
    </row>
    <row r="87" spans="1:14" x14ac:dyDescent="0.35">
      <c r="A87" s="3">
        <v>22</v>
      </c>
      <c r="B87" s="3" t="s">
        <v>107</v>
      </c>
      <c r="C87" s="3" t="s">
        <v>269</v>
      </c>
      <c r="D87" s="25" t="s">
        <v>270</v>
      </c>
      <c r="E87" s="29"/>
      <c r="F87" s="19"/>
      <c r="G87" s="3" t="s">
        <v>197</v>
      </c>
      <c r="H87" s="3" t="s">
        <v>50</v>
      </c>
      <c r="I87" s="13" t="s">
        <v>25</v>
      </c>
      <c r="J87" s="34" t="s">
        <v>271</v>
      </c>
      <c r="K87" s="9" t="s">
        <v>40</v>
      </c>
      <c r="L87" s="23" t="s">
        <v>27</v>
      </c>
      <c r="M87" s="13"/>
      <c r="N87" s="12" t="s">
        <v>193</v>
      </c>
    </row>
    <row r="88" spans="1:14" x14ac:dyDescent="0.35">
      <c r="A88" s="3">
        <v>23</v>
      </c>
      <c r="B88" s="3" t="s">
        <v>272</v>
      </c>
      <c r="C88" s="3" t="s">
        <v>273</v>
      </c>
      <c r="D88" s="25" t="s">
        <v>274</v>
      </c>
      <c r="E88" s="29"/>
      <c r="F88" s="19"/>
      <c r="G88" s="3" t="s">
        <v>197</v>
      </c>
      <c r="H88" s="3" t="s">
        <v>17</v>
      </c>
      <c r="I88" s="13" t="s">
        <v>275</v>
      </c>
      <c r="J88" s="3" t="s">
        <v>271</v>
      </c>
      <c r="K88" s="9" t="s">
        <v>40</v>
      </c>
      <c r="L88" s="23" t="s">
        <v>27</v>
      </c>
      <c r="M88" s="13" t="s">
        <v>27</v>
      </c>
      <c r="N88" s="12"/>
    </row>
    <row r="89" spans="1:14" x14ac:dyDescent="0.35">
      <c r="A89" s="3">
        <v>25</v>
      </c>
      <c r="B89" s="3" t="s">
        <v>276</v>
      </c>
      <c r="C89" s="3"/>
      <c r="D89" s="25" t="s">
        <v>277</v>
      </c>
      <c r="E89" s="29"/>
      <c r="F89" s="19"/>
      <c r="G89" s="3" t="s">
        <v>197</v>
      </c>
      <c r="H89" s="3" t="s">
        <v>129</v>
      </c>
      <c r="I89" s="13" t="s">
        <v>129</v>
      </c>
      <c r="J89" s="34"/>
      <c r="K89" s="9"/>
      <c r="L89" s="23"/>
      <c r="M89" s="12"/>
      <c r="N89" s="12"/>
    </row>
    <row r="90" spans="1:14" x14ac:dyDescent="0.35">
      <c r="A90" s="3">
        <v>26</v>
      </c>
      <c r="B90" s="3" t="s">
        <v>278</v>
      </c>
      <c r="C90" s="3" t="s">
        <v>279</v>
      </c>
      <c r="D90" s="25" t="s">
        <v>280</v>
      </c>
      <c r="E90" s="29"/>
      <c r="F90" s="19"/>
      <c r="G90" s="3" t="s">
        <v>197</v>
      </c>
      <c r="H90" s="3" t="s">
        <v>17</v>
      </c>
      <c r="I90" s="13" t="s">
        <v>233</v>
      </c>
      <c r="J90" s="3" t="s">
        <v>281</v>
      </c>
      <c r="K90" s="9" t="s">
        <v>40</v>
      </c>
      <c r="L90" s="23" t="s">
        <v>27</v>
      </c>
      <c r="M90" s="13" t="s">
        <v>27</v>
      </c>
      <c r="N90" s="12"/>
    </row>
    <row r="91" spans="1:14" ht="29" x14ac:dyDescent="0.35">
      <c r="A91" s="3">
        <v>27</v>
      </c>
      <c r="B91" s="3" t="s">
        <v>252</v>
      </c>
      <c r="C91" s="3" t="s">
        <v>282</v>
      </c>
      <c r="D91" s="25" t="s">
        <v>283</v>
      </c>
      <c r="E91" s="29"/>
      <c r="F91" s="19"/>
      <c r="G91" s="3" t="s">
        <v>197</v>
      </c>
      <c r="H91" s="3" t="s">
        <v>17</v>
      </c>
      <c r="I91" s="13" t="s">
        <v>242</v>
      </c>
      <c r="J91" s="34" t="s">
        <v>284</v>
      </c>
      <c r="K91" s="35" t="s">
        <v>197</v>
      </c>
      <c r="L91" s="23">
        <v>25000</v>
      </c>
      <c r="M91" s="12" t="s">
        <v>149</v>
      </c>
      <c r="N91" s="12"/>
    </row>
    <row r="92" spans="1:14" x14ac:dyDescent="0.35">
      <c r="A92" s="3">
        <v>28</v>
      </c>
      <c r="B92" s="3" t="s">
        <v>72</v>
      </c>
      <c r="C92" s="3" t="s">
        <v>285</v>
      </c>
      <c r="D92" s="25" t="s">
        <v>286</v>
      </c>
      <c r="E92" s="29"/>
      <c r="F92" s="19"/>
      <c r="G92" s="3" t="s">
        <v>197</v>
      </c>
      <c r="H92" s="3" t="s">
        <v>17</v>
      </c>
      <c r="I92" s="13" t="s">
        <v>250</v>
      </c>
      <c r="J92" s="3" t="s">
        <v>287</v>
      </c>
      <c r="K92" s="35" t="s">
        <v>197</v>
      </c>
      <c r="L92" s="23">
        <v>125000</v>
      </c>
      <c r="M92" s="13" t="s">
        <v>19</v>
      </c>
      <c r="N92" s="12"/>
    </row>
    <row r="93" spans="1:14" x14ac:dyDescent="0.35">
      <c r="A93" s="3">
        <v>29</v>
      </c>
      <c r="B93" s="3" t="s">
        <v>288</v>
      </c>
      <c r="C93" s="3" t="s">
        <v>289</v>
      </c>
      <c r="D93" s="25" t="s">
        <v>290</v>
      </c>
      <c r="E93" s="29"/>
      <c r="F93" s="19"/>
      <c r="G93" s="3" t="s">
        <v>197</v>
      </c>
      <c r="H93" s="3" t="s">
        <v>17</v>
      </c>
      <c r="I93" s="13" t="s">
        <v>25</v>
      </c>
      <c r="J93" s="3" t="s">
        <v>291</v>
      </c>
      <c r="K93" s="35" t="s">
        <v>197</v>
      </c>
      <c r="L93" s="23">
        <v>50000</v>
      </c>
      <c r="M93" s="12" t="s">
        <v>19</v>
      </c>
      <c r="N93" s="12"/>
    </row>
    <row r="94" spans="1:14" x14ac:dyDescent="0.35">
      <c r="A94" s="3">
        <v>30</v>
      </c>
      <c r="B94" s="3" t="s">
        <v>72</v>
      </c>
      <c r="C94" s="3" t="s">
        <v>292</v>
      </c>
      <c r="D94" s="25" t="s">
        <v>293</v>
      </c>
      <c r="E94" s="29"/>
      <c r="F94" s="19"/>
      <c r="G94" s="3" t="s">
        <v>197</v>
      </c>
      <c r="H94" s="3" t="s">
        <v>17</v>
      </c>
      <c r="I94" s="13" t="s">
        <v>75</v>
      </c>
      <c r="J94" s="3" t="s">
        <v>294</v>
      </c>
      <c r="K94" s="35" t="s">
        <v>197</v>
      </c>
      <c r="L94" s="23">
        <v>200000</v>
      </c>
      <c r="M94" s="12" t="s">
        <v>19</v>
      </c>
      <c r="N94" s="12"/>
    </row>
    <row r="95" spans="1:14" x14ac:dyDescent="0.35">
      <c r="A95" s="3">
        <v>31</v>
      </c>
      <c r="B95" s="3" t="s">
        <v>295</v>
      </c>
      <c r="C95" s="3" t="s">
        <v>296</v>
      </c>
      <c r="D95" s="25" t="s">
        <v>297</v>
      </c>
      <c r="E95" s="29"/>
      <c r="F95" s="19"/>
      <c r="G95" s="8" t="s">
        <v>197</v>
      </c>
      <c r="H95" s="3" t="s">
        <v>242</v>
      </c>
      <c r="I95" s="13" t="s">
        <v>242</v>
      </c>
      <c r="J95" s="6" t="s">
        <v>298</v>
      </c>
      <c r="K95" s="12"/>
      <c r="L95" s="12"/>
      <c r="M95" s="12"/>
      <c r="N95" s="12"/>
    </row>
    <row r="96" spans="1:14" ht="29" x14ac:dyDescent="0.35">
      <c r="A96" s="3">
        <v>32</v>
      </c>
      <c r="B96" s="3" t="s">
        <v>29</v>
      </c>
      <c r="C96" s="3">
        <v>690283</v>
      </c>
      <c r="D96" s="25" t="s">
        <v>299</v>
      </c>
      <c r="E96" s="29"/>
      <c r="F96" s="19"/>
      <c r="G96" s="8" t="s">
        <v>197</v>
      </c>
      <c r="H96" s="3" t="s">
        <v>17</v>
      </c>
      <c r="I96" s="13" t="s">
        <v>250</v>
      </c>
      <c r="J96" s="5" t="s">
        <v>300</v>
      </c>
      <c r="K96" s="35" t="s">
        <v>197</v>
      </c>
      <c r="L96" s="12"/>
      <c r="M96" s="12"/>
      <c r="N96" s="12"/>
    </row>
    <row r="97" spans="1:14" x14ac:dyDescent="0.35">
      <c r="A97" s="3">
        <v>34</v>
      </c>
      <c r="B97" s="3" t="s">
        <v>301</v>
      </c>
      <c r="C97" s="42" t="s">
        <v>302</v>
      </c>
      <c r="D97" s="25" t="s">
        <v>303</v>
      </c>
      <c r="E97" s="29"/>
      <c r="F97" s="19"/>
      <c r="G97" s="8" t="s">
        <v>197</v>
      </c>
      <c r="H97" s="3" t="s">
        <v>17</v>
      </c>
      <c r="I97" s="13" t="s">
        <v>75</v>
      </c>
      <c r="J97" s="5" t="s">
        <v>304</v>
      </c>
      <c r="K97" s="35" t="s">
        <v>197</v>
      </c>
      <c r="L97" s="12"/>
      <c r="M97" s="12"/>
      <c r="N97" s="12"/>
    </row>
    <row r="98" spans="1:14" ht="58" x14ac:dyDescent="0.35">
      <c r="A98" s="3">
        <v>35</v>
      </c>
      <c r="B98" s="3" t="s">
        <v>305</v>
      </c>
      <c r="C98" s="29" t="s">
        <v>306</v>
      </c>
      <c r="D98" s="25" t="s">
        <v>307</v>
      </c>
      <c r="E98" s="29"/>
      <c r="F98" s="19"/>
      <c r="G98" s="8" t="s">
        <v>197</v>
      </c>
      <c r="H98" s="3" t="s">
        <v>17</v>
      </c>
      <c r="I98" s="13" t="s">
        <v>25</v>
      </c>
      <c r="J98" s="5" t="s">
        <v>308</v>
      </c>
      <c r="K98" s="35" t="s">
        <v>197</v>
      </c>
      <c r="L98" s="12"/>
      <c r="M98" s="12"/>
      <c r="N98" s="12"/>
    </row>
    <row r="99" spans="1:14" ht="43.5" x14ac:dyDescent="0.35">
      <c r="A99" s="3">
        <v>36</v>
      </c>
      <c r="B99" s="3" t="s">
        <v>60</v>
      </c>
      <c r="C99" s="42" t="s">
        <v>309</v>
      </c>
      <c r="D99" s="25" t="s">
        <v>310</v>
      </c>
      <c r="E99" s="29"/>
      <c r="F99" s="19"/>
      <c r="G99" s="8" t="s">
        <v>197</v>
      </c>
      <c r="H99" s="3" t="s">
        <v>17</v>
      </c>
      <c r="I99" s="13" t="s">
        <v>18</v>
      </c>
      <c r="J99" s="5" t="s">
        <v>311</v>
      </c>
      <c r="K99" s="35" t="s">
        <v>56</v>
      </c>
      <c r="L99" s="12"/>
      <c r="M99" s="12"/>
      <c r="N99" s="12"/>
    </row>
    <row r="100" spans="1:14" ht="43.5" x14ac:dyDescent="0.35">
      <c r="A100" s="3">
        <v>37</v>
      </c>
      <c r="B100" s="3" t="s">
        <v>305</v>
      </c>
      <c r="C100" s="29" t="s">
        <v>312</v>
      </c>
      <c r="D100" s="25" t="s">
        <v>313</v>
      </c>
      <c r="E100" s="29"/>
      <c r="F100" s="19"/>
      <c r="G100" s="8" t="s">
        <v>197</v>
      </c>
      <c r="H100" s="3" t="s">
        <v>17</v>
      </c>
      <c r="I100" s="13" t="s">
        <v>25</v>
      </c>
      <c r="J100" s="5" t="s">
        <v>314</v>
      </c>
      <c r="K100" s="8" t="s">
        <v>56</v>
      </c>
      <c r="L100" s="23">
        <v>30000</v>
      </c>
      <c r="M100" s="43" t="s">
        <v>315</v>
      </c>
      <c r="N100" s="12"/>
    </row>
    <row r="101" spans="1:14" x14ac:dyDescent="0.35">
      <c r="A101" s="3">
        <v>38</v>
      </c>
      <c r="B101" s="3" t="s">
        <v>316</v>
      </c>
      <c r="C101" s="29"/>
      <c r="D101" s="25" t="s">
        <v>317</v>
      </c>
      <c r="E101" s="29"/>
      <c r="F101" s="19"/>
      <c r="G101" s="8" t="s">
        <v>197</v>
      </c>
      <c r="H101" s="3" t="s">
        <v>242</v>
      </c>
      <c r="I101" s="13" t="s">
        <v>242</v>
      </c>
      <c r="J101" s="5" t="s">
        <v>314</v>
      </c>
      <c r="K101" s="8" t="s">
        <v>27</v>
      </c>
      <c r="L101" s="23"/>
      <c r="M101" s="43"/>
      <c r="N101" s="12"/>
    </row>
    <row r="102" spans="1:14" x14ac:dyDescent="0.35">
      <c r="A102" s="3">
        <v>39</v>
      </c>
      <c r="B102" s="3" t="s">
        <v>318</v>
      </c>
      <c r="C102" s="3" t="s">
        <v>319</v>
      </c>
      <c r="D102" s="25" t="s">
        <v>320</v>
      </c>
      <c r="E102" s="29"/>
      <c r="F102" s="19"/>
      <c r="G102" s="3" t="s">
        <v>197</v>
      </c>
      <c r="H102" s="3" t="s">
        <v>37</v>
      </c>
      <c r="I102" s="13" t="s">
        <v>25</v>
      </c>
      <c r="J102" s="3" t="s">
        <v>321</v>
      </c>
      <c r="K102" s="9" t="s">
        <v>27</v>
      </c>
      <c r="L102" s="23" t="s">
        <v>322</v>
      </c>
      <c r="M102" s="43"/>
      <c r="N102" s="12"/>
    </row>
    <row r="103" spans="1:14" ht="29" x14ac:dyDescent="0.35">
      <c r="A103" s="3">
        <v>40</v>
      </c>
      <c r="B103" s="3" t="s">
        <v>42</v>
      </c>
      <c r="C103" s="3" t="s">
        <v>323</v>
      </c>
      <c r="D103" s="25" t="s">
        <v>324</v>
      </c>
      <c r="E103" s="29"/>
      <c r="F103" s="19"/>
      <c r="G103" s="3" t="s">
        <v>197</v>
      </c>
      <c r="H103" s="3" t="s">
        <v>17</v>
      </c>
      <c r="I103" s="12"/>
      <c r="J103" s="12"/>
      <c r="K103" s="12"/>
      <c r="L103" s="12"/>
      <c r="M103" s="12"/>
      <c r="N103" s="12"/>
    </row>
    <row r="104" spans="1:14" x14ac:dyDescent="0.35">
      <c r="A104" s="3">
        <v>41</v>
      </c>
      <c r="B104" s="3" t="s">
        <v>325</v>
      </c>
      <c r="C104" s="3" t="s">
        <v>326</v>
      </c>
      <c r="D104" s="25" t="s">
        <v>327</v>
      </c>
      <c r="E104" s="29"/>
      <c r="F104" s="19"/>
      <c r="G104" s="3" t="s">
        <v>197</v>
      </c>
      <c r="H104" s="3" t="s">
        <v>17</v>
      </c>
      <c r="I104" s="12"/>
      <c r="J104" s="12"/>
      <c r="K104" s="12"/>
      <c r="L104" s="12"/>
      <c r="M104" s="12"/>
      <c r="N104" s="12"/>
    </row>
    <row r="105" spans="1:14" ht="29" x14ac:dyDescent="0.35">
      <c r="A105" s="3">
        <v>42</v>
      </c>
      <c r="B105" s="29" t="s">
        <v>325</v>
      </c>
      <c r="C105" s="3" t="s">
        <v>326</v>
      </c>
      <c r="D105" s="46" t="s">
        <v>328</v>
      </c>
      <c r="E105" s="101"/>
      <c r="F105" s="95"/>
      <c r="G105" s="3" t="s">
        <v>197</v>
      </c>
      <c r="H105" s="3" t="s">
        <v>17</v>
      </c>
      <c r="I105" s="12"/>
      <c r="J105" s="12"/>
      <c r="K105" s="12"/>
      <c r="L105" s="12"/>
      <c r="M105" s="12"/>
      <c r="N105" s="12"/>
    </row>
    <row r="106" spans="1:14" x14ac:dyDescent="0.35">
      <c r="A106" s="3">
        <v>43</v>
      </c>
      <c r="B106" s="5" t="s">
        <v>265</v>
      </c>
      <c r="C106" s="5" t="s">
        <v>266</v>
      </c>
      <c r="D106" s="48" t="s">
        <v>329</v>
      </c>
      <c r="E106" s="102"/>
      <c r="F106" s="96"/>
      <c r="G106" s="3" t="s">
        <v>197</v>
      </c>
      <c r="H106" s="5" t="s">
        <v>197</v>
      </c>
      <c r="I106" s="12"/>
      <c r="J106" s="12"/>
      <c r="K106" s="12"/>
      <c r="L106" s="12"/>
      <c r="M106" s="12"/>
      <c r="N106" s="12"/>
    </row>
    <row r="107" spans="1:14" x14ac:dyDescent="0.35">
      <c r="A107" s="3">
        <v>44</v>
      </c>
      <c r="B107" s="29" t="s">
        <v>212</v>
      </c>
      <c r="C107" s="3"/>
      <c r="D107" s="46" t="s">
        <v>330</v>
      </c>
      <c r="E107" s="101"/>
      <c r="F107" s="95"/>
      <c r="G107" s="3" t="s">
        <v>197</v>
      </c>
      <c r="H107" s="3" t="s">
        <v>197</v>
      </c>
      <c r="I107" s="12"/>
      <c r="J107" s="12"/>
      <c r="K107" s="12"/>
      <c r="L107" s="12"/>
      <c r="M107" s="12"/>
      <c r="N107" s="12"/>
    </row>
    <row r="108" spans="1:14" ht="29" x14ac:dyDescent="0.35">
      <c r="A108" s="3">
        <v>45</v>
      </c>
      <c r="B108" s="29" t="s">
        <v>331</v>
      </c>
      <c r="C108" s="3"/>
      <c r="D108" s="46" t="s">
        <v>332</v>
      </c>
      <c r="E108" s="101"/>
      <c r="F108" s="95"/>
      <c r="G108" s="3" t="s">
        <v>197</v>
      </c>
      <c r="H108" s="3" t="s">
        <v>333</v>
      </c>
      <c r="I108" s="12"/>
      <c r="J108" s="12"/>
      <c r="K108" s="12"/>
      <c r="L108" s="12"/>
      <c r="M108" s="12"/>
      <c r="N108" s="12"/>
    </row>
    <row r="109" spans="1:14" x14ac:dyDescent="0.35">
      <c r="A109" s="28">
        <v>46</v>
      </c>
      <c r="B109" s="28" t="s">
        <v>334</v>
      </c>
      <c r="C109" s="3" t="s">
        <v>335</v>
      </c>
      <c r="D109" s="16" t="s">
        <v>336</v>
      </c>
      <c r="E109" s="3"/>
      <c r="F109" s="4"/>
      <c r="G109" s="3" t="s">
        <v>197</v>
      </c>
      <c r="H109" s="3" t="s">
        <v>17</v>
      </c>
      <c r="I109" s="3" t="s">
        <v>337</v>
      </c>
      <c r="J109" s="3" t="s">
        <v>338</v>
      </c>
      <c r="K109" s="3" t="s">
        <v>339</v>
      </c>
      <c r="L109" s="47">
        <v>45500</v>
      </c>
      <c r="M109" s="3" t="s">
        <v>149</v>
      </c>
      <c r="N109" s="12"/>
    </row>
    <row r="110" spans="1:14" x14ac:dyDescent="0.35">
      <c r="A110" s="3">
        <v>47</v>
      </c>
      <c r="B110" s="3" t="s">
        <v>107</v>
      </c>
      <c r="C110" s="3" t="s">
        <v>340</v>
      </c>
      <c r="D110" s="25" t="s">
        <v>341</v>
      </c>
      <c r="E110" s="29"/>
      <c r="F110" s="19"/>
      <c r="G110" s="3" t="s">
        <v>197</v>
      </c>
      <c r="H110" s="3" t="s">
        <v>50</v>
      </c>
      <c r="I110" s="13" t="s">
        <v>176</v>
      </c>
      <c r="J110" s="3" t="s">
        <v>342</v>
      </c>
      <c r="K110" s="9" t="s">
        <v>339</v>
      </c>
      <c r="L110" s="23" t="s">
        <v>88</v>
      </c>
      <c r="M110" s="43"/>
      <c r="N110" s="12"/>
    </row>
    <row r="111" spans="1:14" x14ac:dyDescent="0.35">
      <c r="A111" s="3">
        <v>48</v>
      </c>
      <c r="B111" s="3" t="s">
        <v>107</v>
      </c>
      <c r="C111" s="3" t="s">
        <v>343</v>
      </c>
      <c r="D111" s="25" t="s">
        <v>344</v>
      </c>
      <c r="E111" s="29"/>
      <c r="F111" s="19"/>
      <c r="G111" s="3" t="s">
        <v>197</v>
      </c>
      <c r="H111" s="3" t="s">
        <v>50</v>
      </c>
      <c r="I111" s="13" t="s">
        <v>50</v>
      </c>
      <c r="J111" s="3" t="s">
        <v>345</v>
      </c>
      <c r="K111" s="9" t="s">
        <v>339</v>
      </c>
      <c r="L111" s="23" t="s">
        <v>88</v>
      </c>
      <c r="M111" s="43"/>
      <c r="N111" s="12"/>
    </row>
    <row r="112" spans="1:14" x14ac:dyDescent="0.35">
      <c r="A112" s="13">
        <v>49</v>
      </c>
      <c r="B112" s="6" t="s">
        <v>346</v>
      </c>
      <c r="C112" s="13">
        <v>2000183705</v>
      </c>
      <c r="D112" s="12" t="s">
        <v>347</v>
      </c>
      <c r="E112" s="6"/>
      <c r="F112" s="93"/>
      <c r="G112" s="3" t="s">
        <v>197</v>
      </c>
      <c r="H112" s="13" t="s">
        <v>17</v>
      </c>
      <c r="I112" s="6" t="s">
        <v>250</v>
      </c>
      <c r="J112" s="6" t="s">
        <v>168</v>
      </c>
      <c r="K112" s="6" t="s">
        <v>27</v>
      </c>
      <c r="L112" s="6" t="s">
        <v>27</v>
      </c>
      <c r="M112" s="12" t="s">
        <v>27</v>
      </c>
      <c r="N112" s="12"/>
    </row>
    <row r="113" spans="1:14" x14ac:dyDescent="0.35">
      <c r="A113" s="13">
        <v>50</v>
      </c>
      <c r="B113" s="13" t="s">
        <v>301</v>
      </c>
      <c r="C113" s="13"/>
      <c r="D113" s="12" t="s">
        <v>348</v>
      </c>
      <c r="E113" s="6"/>
      <c r="F113" s="93"/>
      <c r="G113" s="3" t="s">
        <v>197</v>
      </c>
      <c r="H113" s="13" t="s">
        <v>24</v>
      </c>
      <c r="I113" s="6" t="s">
        <v>349</v>
      </c>
      <c r="J113" s="6"/>
      <c r="K113" s="6" t="s">
        <v>27</v>
      </c>
      <c r="L113" s="6" t="s">
        <v>27</v>
      </c>
      <c r="M113" s="12" t="s">
        <v>27</v>
      </c>
      <c r="N113" s="12"/>
    </row>
    <row r="114" spans="1:14" x14ac:dyDescent="0.35">
      <c r="A114" s="13">
        <v>51</v>
      </c>
      <c r="B114" s="13" t="s">
        <v>301</v>
      </c>
      <c r="C114" s="13"/>
      <c r="D114" s="12" t="s">
        <v>350</v>
      </c>
      <c r="E114" s="6"/>
      <c r="F114" s="93"/>
      <c r="G114" s="3" t="s">
        <v>197</v>
      </c>
      <c r="H114" s="13" t="s">
        <v>24</v>
      </c>
      <c r="I114" s="6" t="s">
        <v>349</v>
      </c>
      <c r="J114" s="6"/>
      <c r="K114" s="6" t="s">
        <v>27</v>
      </c>
      <c r="L114" s="6" t="s">
        <v>27</v>
      </c>
      <c r="M114" s="12"/>
      <c r="N114" s="12"/>
    </row>
    <row r="115" spans="1:14" x14ac:dyDescent="0.35">
      <c r="A115" s="3">
        <v>52</v>
      </c>
      <c r="B115" s="3" t="s">
        <v>107</v>
      </c>
      <c r="C115" s="3" t="s">
        <v>351</v>
      </c>
      <c r="D115" s="25" t="s">
        <v>352</v>
      </c>
      <c r="E115" s="29"/>
      <c r="F115" s="19"/>
      <c r="G115" s="3" t="s">
        <v>197</v>
      </c>
      <c r="H115" s="3" t="s">
        <v>353</v>
      </c>
      <c r="I115" s="13" t="s">
        <v>32</v>
      </c>
      <c r="J115" s="3" t="s">
        <v>354</v>
      </c>
      <c r="K115" s="9" t="s">
        <v>351</v>
      </c>
      <c r="L115" s="3" t="s">
        <v>351</v>
      </c>
      <c r="M115" s="43" t="s">
        <v>351</v>
      </c>
      <c r="N115" s="12"/>
    </row>
    <row r="116" spans="1:14" x14ac:dyDescent="0.35">
      <c r="A116" s="3">
        <v>53</v>
      </c>
      <c r="B116" s="3" t="s">
        <v>265</v>
      </c>
      <c r="C116" s="3"/>
      <c r="D116" s="25" t="s">
        <v>355</v>
      </c>
      <c r="E116" s="29"/>
      <c r="F116" s="19"/>
      <c r="G116" s="3" t="s">
        <v>197</v>
      </c>
      <c r="H116" s="3" t="s">
        <v>17</v>
      </c>
      <c r="I116" s="13" t="s">
        <v>250</v>
      </c>
      <c r="J116" s="3" t="s">
        <v>356</v>
      </c>
      <c r="K116" s="9"/>
      <c r="L116" s="23"/>
      <c r="M116" s="43"/>
      <c r="N116" s="1"/>
    </row>
    <row r="117" spans="1:14" x14ac:dyDescent="0.35">
      <c r="A117" s="3">
        <v>54</v>
      </c>
      <c r="B117" s="28" t="s">
        <v>21</v>
      </c>
      <c r="C117" s="3">
        <v>48141</v>
      </c>
      <c r="D117" s="16" t="s">
        <v>357</v>
      </c>
      <c r="E117" s="3"/>
      <c r="F117" s="4"/>
      <c r="G117" s="3" t="s">
        <v>197</v>
      </c>
      <c r="H117" s="3" t="s">
        <v>24</v>
      </c>
      <c r="I117" s="3" t="s">
        <v>50</v>
      </c>
      <c r="J117" s="3" t="s">
        <v>358</v>
      </c>
      <c r="K117" s="1"/>
      <c r="L117" s="7"/>
      <c r="M117" s="1"/>
      <c r="N117" s="1"/>
    </row>
    <row r="118" spans="1:14" x14ac:dyDescent="0.35">
      <c r="A118" s="3">
        <v>55</v>
      </c>
      <c r="B118" s="28" t="s">
        <v>21</v>
      </c>
      <c r="C118" s="3">
        <v>48142</v>
      </c>
      <c r="D118" s="16" t="s">
        <v>359</v>
      </c>
      <c r="E118" s="3"/>
      <c r="F118" s="4"/>
      <c r="G118" s="3" t="s">
        <v>197</v>
      </c>
      <c r="H118" s="3" t="s">
        <v>24</v>
      </c>
      <c r="I118" s="3" t="s">
        <v>50</v>
      </c>
      <c r="J118" s="3" t="s">
        <v>358</v>
      </c>
      <c r="K118" s="1"/>
      <c r="L118" s="7"/>
      <c r="M118" s="1"/>
      <c r="N118" s="1"/>
    </row>
    <row r="119" spans="1:14" x14ac:dyDescent="0.35">
      <c r="A119" s="3">
        <v>56</v>
      </c>
      <c r="B119" s="28" t="s">
        <v>21</v>
      </c>
      <c r="C119" s="3">
        <v>48145</v>
      </c>
      <c r="D119" s="16" t="s">
        <v>360</v>
      </c>
      <c r="E119" s="3"/>
      <c r="F119" s="4"/>
      <c r="G119" s="3" t="s">
        <v>197</v>
      </c>
      <c r="H119" s="3" t="s">
        <v>24</v>
      </c>
      <c r="I119" s="3" t="s">
        <v>361</v>
      </c>
      <c r="J119" s="3" t="s">
        <v>191</v>
      </c>
      <c r="K119" s="1"/>
      <c r="L119" s="7"/>
      <c r="M119" s="1"/>
      <c r="N119" s="12"/>
    </row>
    <row r="120" spans="1:14" x14ac:dyDescent="0.35">
      <c r="A120" s="28">
        <v>57</v>
      </c>
      <c r="B120" s="3" t="s">
        <v>362</v>
      </c>
      <c r="C120" s="3" t="s">
        <v>363</v>
      </c>
      <c r="D120" s="25" t="s">
        <v>364</v>
      </c>
      <c r="E120" s="29"/>
      <c r="F120" s="19"/>
      <c r="G120" s="3" t="s">
        <v>197</v>
      </c>
      <c r="H120" s="3" t="s">
        <v>17</v>
      </c>
      <c r="I120" s="13" t="s">
        <v>75</v>
      </c>
      <c r="J120" s="5" t="s">
        <v>358</v>
      </c>
      <c r="K120" s="9" t="s">
        <v>56</v>
      </c>
      <c r="L120" s="23">
        <v>150000</v>
      </c>
      <c r="M120" s="43" t="s">
        <v>19</v>
      </c>
      <c r="N120" s="12"/>
    </row>
    <row r="121" spans="1:14" x14ac:dyDescent="0.35">
      <c r="A121" s="3">
        <v>58</v>
      </c>
      <c r="B121" s="3" t="s">
        <v>94</v>
      </c>
      <c r="C121" s="3" t="s">
        <v>365</v>
      </c>
      <c r="D121" s="25" t="s">
        <v>366</v>
      </c>
      <c r="E121" s="29"/>
      <c r="F121" s="19"/>
      <c r="G121" s="3" t="s">
        <v>197</v>
      </c>
      <c r="H121" s="3" t="s">
        <v>17</v>
      </c>
      <c r="I121" s="13" t="s">
        <v>25</v>
      </c>
      <c r="J121" s="5" t="s">
        <v>358</v>
      </c>
      <c r="K121" s="9" t="s">
        <v>27</v>
      </c>
      <c r="L121" s="23" t="s">
        <v>27</v>
      </c>
      <c r="M121" s="43" t="s">
        <v>27</v>
      </c>
      <c r="N121" s="1" t="s">
        <v>367</v>
      </c>
    </row>
    <row r="122" spans="1:14" x14ac:dyDescent="0.35">
      <c r="A122" s="3">
        <v>59</v>
      </c>
      <c r="B122" s="13" t="s">
        <v>318</v>
      </c>
      <c r="C122" s="13" t="s">
        <v>368</v>
      </c>
      <c r="D122" s="54" t="s">
        <v>369</v>
      </c>
      <c r="E122" s="99"/>
      <c r="F122" s="87"/>
      <c r="G122" s="3" t="s">
        <v>197</v>
      </c>
      <c r="H122" s="13" t="s">
        <v>24</v>
      </c>
      <c r="I122" s="13" t="s">
        <v>250</v>
      </c>
      <c r="J122" s="53" t="s">
        <v>370</v>
      </c>
      <c r="K122" s="6" t="s">
        <v>27</v>
      </c>
      <c r="L122" s="49" t="s">
        <v>27</v>
      </c>
      <c r="M122" s="43" t="s">
        <v>27</v>
      </c>
      <c r="N122" s="1"/>
    </row>
    <row r="123" spans="1:14" ht="29" x14ac:dyDescent="0.35">
      <c r="A123" s="3">
        <v>60</v>
      </c>
      <c r="B123" s="13" t="s">
        <v>29</v>
      </c>
      <c r="C123" s="13" t="s">
        <v>371</v>
      </c>
      <c r="D123" s="54" t="s">
        <v>372</v>
      </c>
      <c r="E123" s="99"/>
      <c r="F123" s="87"/>
      <c r="G123" s="3" t="s">
        <v>197</v>
      </c>
      <c r="H123" s="13" t="s">
        <v>17</v>
      </c>
      <c r="I123" s="13" t="s">
        <v>373</v>
      </c>
      <c r="J123" s="13" t="s">
        <v>374</v>
      </c>
      <c r="K123" s="6" t="s">
        <v>33</v>
      </c>
      <c r="L123" s="49">
        <v>24000</v>
      </c>
      <c r="M123" s="43" t="s">
        <v>19</v>
      </c>
      <c r="N123" s="12"/>
    </row>
    <row r="124" spans="1:14" x14ac:dyDescent="0.35">
      <c r="A124" s="3">
        <v>61</v>
      </c>
      <c r="B124" s="12" t="s">
        <v>375</v>
      </c>
      <c r="C124" s="12"/>
      <c r="D124" s="12" t="s">
        <v>376</v>
      </c>
      <c r="E124" s="6"/>
      <c r="F124" s="93"/>
      <c r="G124" s="3" t="s">
        <v>197</v>
      </c>
      <c r="H124" s="3" t="s">
        <v>377</v>
      </c>
      <c r="I124" s="13" t="s">
        <v>233</v>
      </c>
      <c r="J124" s="12"/>
      <c r="K124" s="12"/>
      <c r="L124" s="12"/>
      <c r="M124" s="12"/>
      <c r="N124" s="12"/>
    </row>
    <row r="125" spans="1:14" x14ac:dyDescent="0.35">
      <c r="A125" s="3">
        <v>62</v>
      </c>
      <c r="B125" s="13" t="s">
        <v>378</v>
      </c>
      <c r="C125" s="13" t="s">
        <v>379</v>
      </c>
      <c r="D125" s="54" t="s">
        <v>380</v>
      </c>
      <c r="E125" s="99"/>
      <c r="F125" s="87"/>
      <c r="G125" s="13" t="s">
        <v>197</v>
      </c>
      <c r="H125" s="13" t="s">
        <v>17</v>
      </c>
      <c r="I125" s="6" t="s">
        <v>381</v>
      </c>
      <c r="J125" s="13" t="s">
        <v>189</v>
      </c>
      <c r="K125" s="6" t="s">
        <v>40</v>
      </c>
      <c r="L125" s="49"/>
      <c r="M125" s="13"/>
      <c r="N125" s="12"/>
    </row>
    <row r="126" spans="1:14" ht="43.5" x14ac:dyDescent="0.35">
      <c r="A126" s="3">
        <v>1</v>
      </c>
      <c r="B126" s="13" t="s">
        <v>77</v>
      </c>
      <c r="C126" s="13" t="s">
        <v>382</v>
      </c>
      <c r="D126" s="54" t="s">
        <v>383</v>
      </c>
      <c r="E126" s="99"/>
      <c r="F126" s="87"/>
      <c r="G126" s="13" t="s">
        <v>16</v>
      </c>
      <c r="H126" s="13" t="s">
        <v>17</v>
      </c>
      <c r="I126" s="13" t="s">
        <v>38</v>
      </c>
      <c r="J126" s="13" t="s">
        <v>384</v>
      </c>
      <c r="K126" s="13" t="s">
        <v>33</v>
      </c>
      <c r="L126" s="49">
        <v>20000</v>
      </c>
      <c r="M126" s="6" t="s">
        <v>19</v>
      </c>
      <c r="N126" s="12"/>
    </row>
    <row r="127" spans="1:14" x14ac:dyDescent="0.35">
      <c r="A127" s="12">
        <v>63</v>
      </c>
      <c r="B127" s="12" t="s">
        <v>385</v>
      </c>
      <c r="C127" s="12" t="s">
        <v>386</v>
      </c>
      <c r="D127" s="12" t="s">
        <v>387</v>
      </c>
      <c r="E127" s="6"/>
      <c r="F127" s="93"/>
      <c r="G127" s="13" t="s">
        <v>197</v>
      </c>
      <c r="H127" s="12" t="s">
        <v>32</v>
      </c>
      <c r="I127" s="12" t="s">
        <v>388</v>
      </c>
      <c r="J127" s="12" t="s">
        <v>389</v>
      </c>
      <c r="K127" s="12" t="s">
        <v>386</v>
      </c>
      <c r="L127" s="12" t="s">
        <v>386</v>
      </c>
      <c r="M127" s="12"/>
      <c r="N127" s="12"/>
    </row>
  </sheetData>
  <mergeCells count="23">
    <mergeCell ref="I54:J54"/>
    <mergeCell ref="A1:Q2"/>
    <mergeCell ref="I41:J41"/>
    <mergeCell ref="I42:J42"/>
    <mergeCell ref="I34:J34"/>
    <mergeCell ref="I28:J28"/>
    <mergeCell ref="I29:J29"/>
    <mergeCell ref="I30:J30"/>
    <mergeCell ref="I38:J38"/>
    <mergeCell ref="I39:J39"/>
    <mergeCell ref="I40:J40"/>
    <mergeCell ref="I37:J37"/>
    <mergeCell ref="I22:J22"/>
    <mergeCell ref="I23:J23"/>
    <mergeCell ref="I26:J26"/>
    <mergeCell ref="I36:J36"/>
    <mergeCell ref="I35:J35"/>
    <mergeCell ref="I31:J31"/>
    <mergeCell ref="I32:J32"/>
    <mergeCell ref="I33:J33"/>
    <mergeCell ref="I24:J24"/>
    <mergeCell ref="I27:J27"/>
    <mergeCell ref="I25:J25"/>
  </mergeCells>
  <conditionalFormatting sqref="E4:E13">
    <cfRule type="expression" dxfId="16" priority="9">
      <formula>O4&lt;=TODAY()</formula>
    </cfRule>
    <cfRule type="expression" dxfId="15" priority="10">
      <formula>AND(O4&gt;=TODAY(),O4&lt;=TODAY()+2)</formula>
    </cfRule>
    <cfRule type="expression" dxfId="14" priority="11">
      <formula>AND(O4&gt;=TODAY(),O4&gt;=TODAY()+7)</formula>
    </cfRule>
    <cfRule type="expression" dxfId="13" priority="12">
      <formula>AND(O4&gt;=TODAY(),O4&lt;=TODAY()+7)</formula>
    </cfRule>
  </conditionalFormatting>
  <conditionalFormatting sqref="E15:E16 J17:J19">
    <cfRule type="expression" dxfId="12" priority="36">
      <formula>#REF!&lt;=TODAY()</formula>
    </cfRule>
    <cfRule type="expression" dxfId="11" priority="37">
      <formula>AND(#REF!&gt;=TODAY(),#REF!&lt;=TODAY()+2)</formula>
    </cfRule>
    <cfRule type="expression" dxfId="10" priority="38">
      <formula>AND(#REF!&gt;=TODAY(),#REF!&gt;=TODAY()+7)</formula>
    </cfRule>
    <cfRule type="expression" dxfId="9" priority="39">
      <formula>AND(#REF!&gt;=TODAY(),#REF!&lt;=TODAY()+7)</formula>
    </cfRule>
  </conditionalFormatting>
  <conditionalFormatting sqref="G4:G14 G54:G62">
    <cfRule type="expression" priority="2">
      <formula>"$N4"</formula>
    </cfRule>
  </conditionalFormatting>
  <conditionalFormatting sqref="O16 P17:P19 O4:O13">
    <cfRule type="expression" dxfId="8" priority="13">
      <formula>O4&lt;=TODAY()</formula>
    </cfRule>
    <cfRule type="expression" dxfId="7" priority="14">
      <formula>AND(O4&gt;=TODAY(),O4&lt;=TODAY()+2)</formula>
    </cfRule>
    <cfRule type="expression" dxfId="6" priority="15">
      <formula>AND(O4&gt;=TODAY(),O4&gt;=TODAY()+7)</formula>
    </cfRule>
    <cfRule type="expression" dxfId="5" priority="16">
      <formula>AND(O4&gt;=TODAY(),O4&lt;=TODAY()+7)</formula>
    </cfRule>
  </conditionalFormatting>
  <conditionalFormatting sqref="E54:E62">
    <cfRule type="expression" dxfId="3" priority="82">
      <formula>#REF!&lt;=TODAY()</formula>
    </cfRule>
    <cfRule type="expression" dxfId="2" priority="83">
      <formula>AND(#REF!&gt;=TODAY(),#REF!&lt;=TODAY()+2)</formula>
    </cfRule>
    <cfRule type="expression" dxfId="1" priority="84">
      <formula>AND(#REF!&gt;=TODAY(),#REF!&gt;=TODAY()+7)</formula>
    </cfRule>
    <cfRule type="expression" dxfId="0" priority="85">
      <formula>AND(#REF!&gt;=TODAY(),#REF!&lt;=TODAY()+7)</formula>
    </cfRule>
  </conditionalFormatting>
  <conditionalFormatting sqref="O17:O19 N4:N16 N55:N62">
    <cfRule type="colorScale" priority="94">
      <colorScale>
        <cfvo type="num" val="0"/>
        <cfvo type="percent" val="50"/>
        <cfvo type="num" val="8"/>
        <color rgb="FFF8696B"/>
        <color rgb="FFFFEB84"/>
        <color rgb="FF63BE7B"/>
      </colorScale>
    </cfRule>
  </conditionalFormatting>
  <conditionalFormatting sqref="P4:P13 P54">
    <cfRule type="colorScale" priority="95">
      <colorScale>
        <cfvo type="min"/>
        <cfvo type="max"/>
        <color theme="9" tint="0.79998168889431442"/>
        <color theme="5" tint="0.39997558519241921"/>
      </colorScale>
    </cfRule>
  </conditionalFormatting>
  <hyperlinks>
    <hyperlink ref="C99" r:id="rId1" xr:uid="{AF797EA1-ACE0-4EC0-9416-C3A4503B6A11}"/>
    <hyperlink ref="C8" r:id="rId2" display="../../../../../../:f:/g/docs/Etzcajd6k0tPnmilrOhJvkUBmjKdNHt88i8Z_n2IKJNMpQ?e=hxt1wf" xr:uid="{114000BD-A4E9-4950-A636-F6C8F2CB3721}"/>
    <hyperlink ref="C7" r:id="rId3" display="../../../../../../:f:/g/docs/Eo6no9kr7elPuZ4R81G-L48BUDMoM_0m6Aum2q-mMA_kkA?e=87tna4" xr:uid="{44D16214-E86A-4893-9506-78F72CCA5CCD}"/>
    <hyperlink ref="C9" r:id="rId4" display="../../../../../../:f:/g/docs/EmAyHp0BVhpJsf-I-pftW3EBPOPI3BDaaDqW2j4X1ZrE0A?e=zYIK3o" xr:uid="{4445B7BA-67A7-4B63-AC63-BF3CC2D686EF}"/>
    <hyperlink ref="C11" r:id="rId5" display="../../../../../../:f:/g/docs/En6sGsjwdlxPrZ4PDw2_i6UBYisGU9wLjGaXchCBBMnwRw?e=bgJvVh" xr:uid="{8BD35751-A9B4-4231-B1F3-D42F5102DF75}"/>
    <hyperlink ref="C13" r:id="rId6" display="../../../../../../:f:/g/docs/EspWulSpIohHgUUXANfORVkBF5YxBCP7YsKLicQKimPBSg?e=HO8bta" xr:uid="{A63E6FBC-B44D-4020-A9C7-E5F2DEE497A4}"/>
    <hyperlink ref="C5" r:id="rId7" display="../../../../../../:f:/g/docs/Eqgz0Wg69shHtp6SwWQIfYMBrDIbHTCh5IyOR8biuTlk2A?e=UtxIiQ" xr:uid="{47BCDF03-0308-444A-AAF0-5F46E22455D9}"/>
  </hyperlinks>
  <pageMargins left="0.7" right="0.7" top="0.75" bottom="0.75" header="0.3" footer="0.3"/>
  <pageSetup paperSize="9" orientation="portrait" r:id="rId8"/>
  <legacyDrawing r:id="rId9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F04BCBFC-F842-4646-92E0-F3799A84D0D0}">
            <xm:f>NOT(ISERROR(SEARCH($Q$3,I1)))</xm:f>
            <xm:f>$Q$3</xm:f>
            <x14:dxf>
              <fill>
                <patternFill>
                  <bgColor theme="5" tint="0.79998168889431442"/>
                </patternFill>
              </fill>
            </x14:dxf>
          </x14:cfRule>
          <xm:sqref>I1:I1048576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2EF17-BD1E-444C-A235-EECBB0439E67}">
  <dimension ref="B5:N37"/>
  <sheetViews>
    <sheetView topLeftCell="C13" workbookViewId="0">
      <selection activeCell="M12" sqref="M12"/>
    </sheetView>
  </sheetViews>
  <sheetFormatPr defaultRowHeight="14.5" x14ac:dyDescent="0.35"/>
  <cols>
    <col min="3" max="3" width="28.81640625" customWidth="1"/>
    <col min="4" max="4" width="24.453125" customWidth="1"/>
    <col min="5" max="5" width="54.1796875" customWidth="1"/>
    <col min="8" max="8" width="27.1796875" customWidth="1"/>
    <col min="11" max="11" width="34.36328125" customWidth="1"/>
  </cols>
  <sheetData>
    <row r="5" spans="2:14" x14ac:dyDescent="0.35">
      <c r="C5" s="17" t="s">
        <v>83</v>
      </c>
      <c r="E5" t="s">
        <v>84</v>
      </c>
    </row>
    <row r="6" spans="2:14" x14ac:dyDescent="0.35">
      <c r="B6" s="3">
        <v>1</v>
      </c>
      <c r="C6" s="3" t="s">
        <v>85</v>
      </c>
      <c r="D6" s="3" t="s">
        <v>86</v>
      </c>
      <c r="E6" s="4" t="s">
        <v>87</v>
      </c>
      <c r="F6" s="4"/>
      <c r="G6" s="3" t="s">
        <v>88</v>
      </c>
      <c r="H6" s="3" t="s">
        <v>89</v>
      </c>
      <c r="I6" s="74" t="s">
        <v>90</v>
      </c>
      <c r="J6" s="75"/>
      <c r="K6" s="21"/>
      <c r="L6" s="21"/>
      <c r="M6" s="21"/>
      <c r="N6" s="21"/>
    </row>
    <row r="7" spans="2:14" x14ac:dyDescent="0.35">
      <c r="B7" s="13">
        <v>2</v>
      </c>
      <c r="C7" s="3" t="s">
        <v>91</v>
      </c>
      <c r="D7" s="3" t="s">
        <v>92</v>
      </c>
      <c r="E7" s="4" t="s">
        <v>93</v>
      </c>
      <c r="F7" s="4"/>
      <c r="G7" s="3" t="s">
        <v>88</v>
      </c>
      <c r="H7" s="3" t="s">
        <v>89</v>
      </c>
      <c r="I7" s="74" t="s">
        <v>90</v>
      </c>
      <c r="J7" s="75"/>
    </row>
    <row r="8" spans="2:14" x14ac:dyDescent="0.35">
      <c r="B8" s="3">
        <v>3</v>
      </c>
      <c r="C8" s="3" t="s">
        <v>94</v>
      </c>
      <c r="D8" s="3" t="s">
        <v>95</v>
      </c>
      <c r="E8" s="4" t="s">
        <v>96</v>
      </c>
      <c r="F8" s="4"/>
      <c r="G8" s="3" t="s">
        <v>88</v>
      </c>
      <c r="H8" s="3" t="s">
        <v>89</v>
      </c>
      <c r="I8" s="74" t="s">
        <v>90</v>
      </c>
      <c r="J8" s="75"/>
      <c r="K8" s="20"/>
      <c r="L8" s="14"/>
      <c r="M8" s="15"/>
    </row>
    <row r="9" spans="2:14" x14ac:dyDescent="0.35">
      <c r="B9" s="3">
        <v>4</v>
      </c>
      <c r="C9" s="3" t="s">
        <v>97</v>
      </c>
      <c r="D9" s="3" t="s">
        <v>98</v>
      </c>
      <c r="E9" s="4" t="s">
        <v>99</v>
      </c>
      <c r="F9" s="4"/>
      <c r="G9" s="6" t="s">
        <v>88</v>
      </c>
      <c r="H9" s="3" t="s">
        <v>89</v>
      </c>
      <c r="I9" s="74" t="s">
        <v>90</v>
      </c>
      <c r="J9" s="75"/>
      <c r="K9" s="3" t="s">
        <v>100</v>
      </c>
      <c r="L9" s="10"/>
      <c r="M9" s="8"/>
      <c r="N9" s="8" t="s">
        <v>101</v>
      </c>
    </row>
    <row r="10" spans="2:14" x14ac:dyDescent="0.35">
      <c r="B10" s="3">
        <v>5</v>
      </c>
      <c r="C10" s="3" t="s">
        <v>102</v>
      </c>
      <c r="D10" s="3" t="s">
        <v>103</v>
      </c>
      <c r="E10" s="4" t="s">
        <v>104</v>
      </c>
      <c r="F10" s="4"/>
      <c r="G10" s="3" t="s">
        <v>88</v>
      </c>
      <c r="H10" s="3" t="s">
        <v>89</v>
      </c>
      <c r="I10" s="74" t="s">
        <v>90</v>
      </c>
      <c r="J10" s="75"/>
    </row>
    <row r="11" spans="2:14" x14ac:dyDescent="0.35">
      <c r="B11" s="3">
        <v>6</v>
      </c>
      <c r="C11" s="3" t="s">
        <v>77</v>
      </c>
      <c r="D11" s="3" t="s">
        <v>105</v>
      </c>
      <c r="E11" s="4" t="s">
        <v>106</v>
      </c>
      <c r="F11" s="4"/>
      <c r="G11" s="3" t="s">
        <v>88</v>
      </c>
      <c r="H11" s="3" t="s">
        <v>89</v>
      </c>
      <c r="I11" s="74" t="s">
        <v>90</v>
      </c>
      <c r="J11" s="75"/>
      <c r="K11" s="9">
        <v>900000</v>
      </c>
      <c r="L11" s="12"/>
      <c r="M11" s="12"/>
      <c r="N11" s="12"/>
    </row>
    <row r="12" spans="2:14" x14ac:dyDescent="0.35">
      <c r="B12" s="3">
        <v>7</v>
      </c>
      <c r="C12" s="3" t="s">
        <v>107</v>
      </c>
      <c r="D12" s="3" t="s">
        <v>108</v>
      </c>
      <c r="E12" s="4" t="s">
        <v>109</v>
      </c>
      <c r="F12" s="4"/>
      <c r="G12" s="3" t="s">
        <v>88</v>
      </c>
      <c r="H12" s="3" t="s">
        <v>89</v>
      </c>
      <c r="I12" s="74" t="s">
        <v>90</v>
      </c>
      <c r="J12" s="75"/>
      <c r="K12" s="3" t="s">
        <v>110</v>
      </c>
      <c r="L12" s="11">
        <v>7000</v>
      </c>
      <c r="M12" s="9" t="s">
        <v>19</v>
      </c>
      <c r="N12" s="12" t="s">
        <v>111</v>
      </c>
    </row>
    <row r="13" spans="2:14" x14ac:dyDescent="0.35">
      <c r="B13" s="3">
        <v>8</v>
      </c>
      <c r="C13" s="3" t="s">
        <v>72</v>
      </c>
      <c r="D13" s="3" t="s">
        <v>112</v>
      </c>
      <c r="E13" s="4" t="s">
        <v>113</v>
      </c>
      <c r="F13" s="4"/>
      <c r="G13" s="3" t="s">
        <v>88</v>
      </c>
      <c r="H13" s="3" t="s">
        <v>89</v>
      </c>
      <c r="I13" s="74" t="s">
        <v>90</v>
      </c>
      <c r="J13" s="75"/>
      <c r="K13" s="3"/>
      <c r="L13" s="11">
        <v>150000</v>
      </c>
      <c r="M13" s="9" t="s">
        <v>19</v>
      </c>
      <c r="N13" s="12" t="s">
        <v>114</v>
      </c>
    </row>
    <row r="14" spans="2:14" x14ac:dyDescent="0.35">
      <c r="B14" s="3">
        <v>9</v>
      </c>
      <c r="C14" s="3" t="s">
        <v>42</v>
      </c>
      <c r="D14" s="3" t="s">
        <v>115</v>
      </c>
      <c r="E14" s="4" t="s">
        <v>116</v>
      </c>
      <c r="F14" s="4"/>
      <c r="G14" s="3" t="s">
        <v>88</v>
      </c>
      <c r="H14" s="3" t="s">
        <v>89</v>
      </c>
      <c r="I14" s="74" t="s">
        <v>90</v>
      </c>
      <c r="J14" s="75"/>
      <c r="K14" s="3" t="s">
        <v>117</v>
      </c>
      <c r="L14" s="11">
        <v>70000</v>
      </c>
      <c r="M14" s="9" t="s">
        <v>19</v>
      </c>
      <c r="N14" s="12"/>
    </row>
    <row r="15" spans="2:14" ht="188.5" x14ac:dyDescent="0.35">
      <c r="B15" s="3">
        <v>10</v>
      </c>
      <c r="C15" s="3" t="s">
        <v>118</v>
      </c>
      <c r="D15" s="3" t="s">
        <v>119</v>
      </c>
      <c r="E15" s="19" t="s">
        <v>120</v>
      </c>
      <c r="F15" s="19"/>
      <c r="G15" s="3" t="s">
        <v>88</v>
      </c>
      <c r="H15" s="3" t="s">
        <v>89</v>
      </c>
      <c r="I15" s="74" t="s">
        <v>90</v>
      </c>
      <c r="J15" s="75"/>
      <c r="K15" s="3" t="s">
        <v>117</v>
      </c>
      <c r="L15" s="12"/>
      <c r="M15" s="12"/>
      <c r="N15" s="12"/>
    </row>
    <row r="16" spans="2:14" x14ac:dyDescent="0.35">
      <c r="B16" s="3">
        <v>11</v>
      </c>
      <c r="C16" s="3" t="s">
        <v>60</v>
      </c>
      <c r="D16" s="3" t="s">
        <v>121</v>
      </c>
      <c r="E16" s="16" t="s">
        <v>122</v>
      </c>
      <c r="F16" s="16"/>
      <c r="G16" s="3" t="s">
        <v>88</v>
      </c>
      <c r="H16" s="3" t="s">
        <v>89</v>
      </c>
      <c r="I16" s="74" t="s">
        <v>90</v>
      </c>
      <c r="J16" s="75"/>
      <c r="K16" s="3" t="s">
        <v>117</v>
      </c>
      <c r="L16" s="13" t="s">
        <v>117</v>
      </c>
      <c r="M16" s="12" t="s">
        <v>117</v>
      </c>
      <c r="N16" s="12"/>
    </row>
    <row r="17" spans="2:14" x14ac:dyDescent="0.35">
      <c r="B17" s="3">
        <v>12</v>
      </c>
      <c r="C17" s="3" t="s">
        <v>123</v>
      </c>
      <c r="D17" s="3" t="s">
        <v>124</v>
      </c>
      <c r="E17" s="16" t="s">
        <v>125</v>
      </c>
      <c r="F17" s="16"/>
      <c r="G17" s="3" t="s">
        <v>88</v>
      </c>
      <c r="H17" s="3" t="s">
        <v>89</v>
      </c>
      <c r="I17" s="74" t="s">
        <v>90</v>
      </c>
      <c r="J17" s="75"/>
      <c r="K17" s="9" t="s">
        <v>40</v>
      </c>
      <c r="L17" s="23"/>
      <c r="M17" s="12"/>
      <c r="N17" s="12"/>
    </row>
    <row r="18" spans="2:14" ht="101.5" x14ac:dyDescent="0.35">
      <c r="B18" s="3">
        <v>13</v>
      </c>
      <c r="C18" s="3" t="s">
        <v>126</v>
      </c>
      <c r="D18" s="3" t="s">
        <v>127</v>
      </c>
      <c r="E18" s="25" t="s">
        <v>128</v>
      </c>
      <c r="F18" s="25"/>
      <c r="G18" s="3" t="s">
        <v>88</v>
      </c>
      <c r="H18" s="3" t="s">
        <v>129</v>
      </c>
      <c r="I18" s="74" t="s">
        <v>90</v>
      </c>
      <c r="J18" s="75"/>
      <c r="K18" s="35" t="s">
        <v>33</v>
      </c>
      <c r="L18" s="23">
        <v>50000</v>
      </c>
      <c r="M18" s="13" t="s">
        <v>19</v>
      </c>
      <c r="N18" s="12"/>
    </row>
    <row r="19" spans="2:14" ht="101.5" x14ac:dyDescent="0.35">
      <c r="B19" s="3">
        <v>14</v>
      </c>
      <c r="C19" s="3" t="s">
        <v>130</v>
      </c>
      <c r="D19" s="3" t="s">
        <v>131</v>
      </c>
      <c r="E19" s="25" t="s">
        <v>132</v>
      </c>
      <c r="F19" s="25"/>
      <c r="G19" s="3" t="s">
        <v>88</v>
      </c>
      <c r="H19" s="3" t="s">
        <v>17</v>
      </c>
      <c r="I19" s="74" t="s">
        <v>90</v>
      </c>
      <c r="J19" s="75"/>
      <c r="K19" s="9" t="s">
        <v>33</v>
      </c>
      <c r="L19" s="23">
        <v>7500</v>
      </c>
      <c r="M19" s="13" t="s">
        <v>19</v>
      </c>
      <c r="N19" s="12"/>
    </row>
    <row r="20" spans="2:14" x14ac:dyDescent="0.35">
      <c r="B20" s="3">
        <v>15</v>
      </c>
      <c r="C20" s="3" t="s">
        <v>133</v>
      </c>
      <c r="D20" s="3" t="s">
        <v>134</v>
      </c>
      <c r="E20" s="16" t="s">
        <v>135</v>
      </c>
      <c r="F20" s="16"/>
      <c r="G20" s="3" t="s">
        <v>88</v>
      </c>
      <c r="H20" s="3" t="s">
        <v>17</v>
      </c>
      <c r="I20" s="74" t="s">
        <v>90</v>
      </c>
      <c r="J20" s="75"/>
      <c r="K20" s="3" t="s">
        <v>40</v>
      </c>
      <c r="L20" s="13"/>
      <c r="M20" s="12"/>
      <c r="N20" s="12"/>
    </row>
    <row r="21" spans="2:14" ht="101.5" x14ac:dyDescent="0.35">
      <c r="B21" s="3">
        <v>16</v>
      </c>
      <c r="C21" s="3" t="s">
        <v>136</v>
      </c>
      <c r="D21" s="3" t="s">
        <v>137</v>
      </c>
      <c r="E21" s="25" t="s">
        <v>138</v>
      </c>
      <c r="F21" s="25"/>
      <c r="G21" s="3" t="s">
        <v>88</v>
      </c>
      <c r="H21" s="3" t="s">
        <v>17</v>
      </c>
      <c r="I21" s="74" t="s">
        <v>90</v>
      </c>
      <c r="J21" s="75"/>
      <c r="K21" s="9" t="s">
        <v>33</v>
      </c>
      <c r="L21" s="23">
        <v>225000</v>
      </c>
      <c r="M21" s="13" t="s">
        <v>19</v>
      </c>
      <c r="N21" s="12"/>
    </row>
    <row r="22" spans="2:14" ht="217.5" x14ac:dyDescent="0.35">
      <c r="B22" s="3">
        <v>17</v>
      </c>
      <c r="C22" s="3" t="s">
        <v>139</v>
      </c>
      <c r="D22" s="3" t="s">
        <v>140</v>
      </c>
      <c r="E22" s="25" t="s">
        <v>141</v>
      </c>
      <c r="F22" s="25"/>
      <c r="G22" s="3" t="s">
        <v>88</v>
      </c>
      <c r="H22" s="3" t="s">
        <v>17</v>
      </c>
      <c r="I22" s="74" t="s">
        <v>90</v>
      </c>
      <c r="J22" s="75"/>
      <c r="K22" s="9" t="s">
        <v>40</v>
      </c>
      <c r="L22" s="23" t="s">
        <v>27</v>
      </c>
      <c r="M22" s="13" t="s">
        <v>27</v>
      </c>
      <c r="N22" s="12"/>
    </row>
    <row r="23" spans="2:14" ht="101.5" x14ac:dyDescent="0.35">
      <c r="B23" s="3">
        <v>18</v>
      </c>
      <c r="C23" s="3" t="s">
        <v>142</v>
      </c>
      <c r="D23" s="3" t="s">
        <v>143</v>
      </c>
      <c r="E23" s="25" t="s">
        <v>144</v>
      </c>
      <c r="F23" s="25"/>
      <c r="G23" s="3" t="s">
        <v>88</v>
      </c>
      <c r="H23" s="3" t="s">
        <v>89</v>
      </c>
      <c r="I23" s="74" t="s">
        <v>90</v>
      </c>
      <c r="J23" s="75"/>
      <c r="K23" s="9" t="s">
        <v>40</v>
      </c>
      <c r="L23" s="23"/>
      <c r="M23" s="13"/>
      <c r="N23" s="12"/>
    </row>
    <row r="24" spans="2:14" ht="72.5" x14ac:dyDescent="0.35">
      <c r="B24" s="3">
        <v>19</v>
      </c>
      <c r="C24" s="3" t="s">
        <v>118</v>
      </c>
      <c r="D24" s="3">
        <v>48086</v>
      </c>
      <c r="E24" s="25" t="s">
        <v>145</v>
      </c>
      <c r="F24" s="25"/>
      <c r="G24" s="3" t="s">
        <v>88</v>
      </c>
      <c r="H24" s="3" t="s">
        <v>89</v>
      </c>
      <c r="I24" s="74" t="s">
        <v>90</v>
      </c>
      <c r="J24" s="75"/>
      <c r="K24" s="9" t="s">
        <v>40</v>
      </c>
      <c r="L24" s="23" t="s">
        <v>27</v>
      </c>
      <c r="M24" s="12" t="s">
        <v>27</v>
      </c>
      <c r="N24" s="12"/>
    </row>
    <row r="25" spans="2:14" ht="130.5" x14ac:dyDescent="0.35">
      <c r="B25" s="3">
        <v>20</v>
      </c>
      <c r="C25" s="3" t="s">
        <v>146</v>
      </c>
      <c r="D25" s="3" t="s">
        <v>147</v>
      </c>
      <c r="E25" s="25" t="s">
        <v>148</v>
      </c>
      <c r="F25" s="25"/>
      <c r="G25" s="3" t="s">
        <v>88</v>
      </c>
      <c r="H25" s="3" t="s">
        <v>89</v>
      </c>
      <c r="I25" s="74" t="s">
        <v>90</v>
      </c>
      <c r="J25" s="75"/>
      <c r="K25" s="9" t="s">
        <v>33</v>
      </c>
      <c r="L25" s="23">
        <v>45500</v>
      </c>
      <c r="M25" s="13" t="s">
        <v>149</v>
      </c>
      <c r="N25" s="12"/>
    </row>
    <row r="26" spans="2:14" ht="87" x14ac:dyDescent="0.35">
      <c r="B26" s="3">
        <v>21</v>
      </c>
      <c r="C26" s="3" t="s">
        <v>150</v>
      </c>
      <c r="D26" s="3" t="s">
        <v>151</v>
      </c>
      <c r="E26" s="25" t="s">
        <v>152</v>
      </c>
      <c r="F26" s="25"/>
      <c r="G26" s="3" t="s">
        <v>88</v>
      </c>
      <c r="H26" s="3" t="s">
        <v>89</v>
      </c>
      <c r="I26" s="74" t="s">
        <v>90</v>
      </c>
      <c r="J26" s="75"/>
      <c r="K26" s="9" t="s">
        <v>33</v>
      </c>
      <c r="L26" s="23">
        <v>150000</v>
      </c>
      <c r="M26" s="13" t="s">
        <v>19</v>
      </c>
      <c r="N26" s="12"/>
    </row>
    <row r="27" spans="2:14" ht="87" x14ac:dyDescent="0.35">
      <c r="B27" s="3">
        <v>22</v>
      </c>
      <c r="C27" s="3" t="s">
        <v>42</v>
      </c>
      <c r="D27" s="3" t="s">
        <v>153</v>
      </c>
      <c r="E27" s="25" t="s">
        <v>154</v>
      </c>
      <c r="F27" s="25"/>
      <c r="G27" s="3" t="s">
        <v>155</v>
      </c>
      <c r="H27" s="3" t="s">
        <v>17</v>
      </c>
      <c r="I27" s="13" t="s">
        <v>156</v>
      </c>
      <c r="J27" s="3" t="s">
        <v>157</v>
      </c>
      <c r="K27" s="9" t="s">
        <v>33</v>
      </c>
      <c r="L27" s="23">
        <v>300000</v>
      </c>
      <c r="M27" s="12" t="s">
        <v>19</v>
      </c>
      <c r="N27" s="12"/>
    </row>
    <row r="28" spans="2:14" ht="87" x14ac:dyDescent="0.35">
      <c r="B28" s="3">
        <v>23</v>
      </c>
      <c r="C28" s="3" t="s">
        <v>42</v>
      </c>
      <c r="D28" s="3" t="s">
        <v>153</v>
      </c>
      <c r="E28" s="25" t="s">
        <v>154</v>
      </c>
      <c r="F28" s="25"/>
      <c r="G28" s="3" t="s">
        <v>155</v>
      </c>
      <c r="H28" s="3" t="s">
        <v>17</v>
      </c>
      <c r="I28" s="13" t="s">
        <v>156</v>
      </c>
      <c r="J28" s="3" t="s">
        <v>157</v>
      </c>
      <c r="K28" s="9" t="s">
        <v>33</v>
      </c>
      <c r="L28" s="23">
        <v>300000</v>
      </c>
      <c r="M28" s="12" t="s">
        <v>19</v>
      </c>
      <c r="N28" s="12"/>
    </row>
    <row r="29" spans="2:14" ht="145" x14ac:dyDescent="0.35">
      <c r="B29" s="3">
        <v>24</v>
      </c>
      <c r="C29" s="3" t="s">
        <v>47</v>
      </c>
      <c r="D29" s="3" t="s">
        <v>158</v>
      </c>
      <c r="E29" s="25" t="s">
        <v>159</v>
      </c>
      <c r="F29" s="25"/>
      <c r="G29" s="3" t="s">
        <v>155</v>
      </c>
      <c r="H29" s="3" t="s">
        <v>17</v>
      </c>
      <c r="I29" s="13" t="s">
        <v>75</v>
      </c>
      <c r="J29" s="3" t="s">
        <v>160</v>
      </c>
      <c r="K29" s="9" t="s">
        <v>33</v>
      </c>
      <c r="L29" s="23">
        <v>82500</v>
      </c>
      <c r="M29" s="43" t="s">
        <v>161</v>
      </c>
    </row>
    <row r="30" spans="2:14" ht="72.5" x14ac:dyDescent="0.35">
      <c r="B30" s="3">
        <v>25</v>
      </c>
      <c r="C30" s="3" t="s">
        <v>162</v>
      </c>
      <c r="D30" s="3" t="s">
        <v>163</v>
      </c>
      <c r="E30" s="25" t="s">
        <v>164</v>
      </c>
      <c r="F30" s="25"/>
      <c r="G30" s="3" t="s">
        <v>155</v>
      </c>
      <c r="H30" s="3" t="s">
        <v>17</v>
      </c>
      <c r="I30" s="13" t="s">
        <v>75</v>
      </c>
      <c r="J30" s="3" t="s">
        <v>165</v>
      </c>
      <c r="K30" s="9" t="s">
        <v>33</v>
      </c>
      <c r="L30" s="23">
        <v>45000</v>
      </c>
      <c r="M30" s="43" t="s">
        <v>19</v>
      </c>
    </row>
    <row r="31" spans="2:14" ht="101.5" x14ac:dyDescent="0.35">
      <c r="B31" s="3">
        <v>26</v>
      </c>
      <c r="C31" s="3" t="s">
        <v>102</v>
      </c>
      <c r="D31" s="3" t="s">
        <v>166</v>
      </c>
      <c r="E31" s="25" t="s">
        <v>167</v>
      </c>
      <c r="F31" s="25"/>
      <c r="G31" s="3" t="s">
        <v>155</v>
      </c>
      <c r="H31" s="3" t="s">
        <v>17</v>
      </c>
      <c r="I31" s="13" t="s">
        <v>25</v>
      </c>
      <c r="J31" s="3" t="s">
        <v>168</v>
      </c>
      <c r="K31" s="9" t="s">
        <v>33</v>
      </c>
      <c r="L31" s="33">
        <v>40000</v>
      </c>
      <c r="M31" s="43" t="s">
        <v>161</v>
      </c>
      <c r="N31" s="12"/>
    </row>
    <row r="32" spans="2:14" x14ac:dyDescent="0.35">
      <c r="B32" s="13">
        <v>27</v>
      </c>
      <c r="C32" s="13" t="s">
        <v>169</v>
      </c>
      <c r="D32" s="13" t="s">
        <v>170</v>
      </c>
      <c r="E32" s="12" t="s">
        <v>171</v>
      </c>
      <c r="F32" s="12"/>
      <c r="G32" s="6" t="s">
        <v>155</v>
      </c>
      <c r="H32" s="13" t="s">
        <v>129</v>
      </c>
      <c r="I32" s="6" t="s">
        <v>129</v>
      </c>
      <c r="J32" s="6" t="s">
        <v>172</v>
      </c>
      <c r="K32" s="6" t="s">
        <v>33</v>
      </c>
      <c r="L32" s="6">
        <v>30000</v>
      </c>
      <c r="M32" s="12" t="s">
        <v>19</v>
      </c>
      <c r="N32" s="12"/>
    </row>
    <row r="33" spans="2:14" x14ac:dyDescent="0.35">
      <c r="B33" s="13">
        <v>28</v>
      </c>
      <c r="C33" s="13" t="s">
        <v>173</v>
      </c>
      <c r="D33" s="13" t="s">
        <v>174</v>
      </c>
      <c r="E33" s="12" t="s">
        <v>175</v>
      </c>
      <c r="F33" s="12"/>
      <c r="G33" s="6" t="s">
        <v>155</v>
      </c>
      <c r="H33" s="13" t="s">
        <v>24</v>
      </c>
      <c r="I33" s="6" t="s">
        <v>176</v>
      </c>
      <c r="J33" s="6" t="s">
        <v>177</v>
      </c>
      <c r="K33" s="6" t="s">
        <v>33</v>
      </c>
      <c r="L33" s="6">
        <v>10800</v>
      </c>
      <c r="M33" s="12"/>
      <c r="N33" s="12"/>
    </row>
    <row r="34" spans="2:14" ht="362.5" x14ac:dyDescent="0.35">
      <c r="B34" s="3">
        <v>29</v>
      </c>
      <c r="C34" s="3" t="s">
        <v>178</v>
      </c>
      <c r="D34" s="3" t="s">
        <v>179</v>
      </c>
      <c r="E34" s="25" t="s">
        <v>180</v>
      </c>
      <c r="F34" s="25"/>
      <c r="G34" s="6" t="s">
        <v>155</v>
      </c>
      <c r="H34" s="3" t="s">
        <v>17</v>
      </c>
      <c r="I34" s="13" t="s">
        <v>181</v>
      </c>
      <c r="J34" s="3" t="s">
        <v>182</v>
      </c>
      <c r="K34" s="9" t="s">
        <v>183</v>
      </c>
      <c r="L34" s="23"/>
      <c r="M34" s="43"/>
      <c r="N34" s="12"/>
    </row>
    <row r="35" spans="2:14" x14ac:dyDescent="0.35">
      <c r="B35" s="13">
        <v>30</v>
      </c>
      <c r="C35" s="13" t="s">
        <v>184</v>
      </c>
      <c r="D35" s="13" t="s">
        <v>185</v>
      </c>
      <c r="E35" s="12" t="s">
        <v>186</v>
      </c>
      <c r="F35" s="12"/>
      <c r="G35" s="6" t="s">
        <v>155</v>
      </c>
      <c r="H35" s="13" t="s">
        <v>17</v>
      </c>
      <c r="I35" s="6" t="s">
        <v>25</v>
      </c>
      <c r="J35" s="6" t="s">
        <v>187</v>
      </c>
      <c r="K35" s="6" t="s">
        <v>33</v>
      </c>
      <c r="L35" s="6">
        <v>80000</v>
      </c>
      <c r="M35" s="12" t="s">
        <v>19</v>
      </c>
      <c r="N35" s="12"/>
    </row>
    <row r="36" spans="2:14" ht="174" x14ac:dyDescent="0.35">
      <c r="B36" s="3">
        <v>31</v>
      </c>
      <c r="C36" s="3" t="s">
        <v>21</v>
      </c>
      <c r="D36" s="3">
        <v>48150</v>
      </c>
      <c r="E36" s="25" t="s">
        <v>188</v>
      </c>
      <c r="F36" s="25"/>
      <c r="G36" s="3" t="s">
        <v>155</v>
      </c>
      <c r="H36" s="3" t="s">
        <v>24</v>
      </c>
      <c r="I36" s="13" t="s">
        <v>129</v>
      </c>
      <c r="J36" s="3" t="s">
        <v>189</v>
      </c>
      <c r="K36" s="9" t="s">
        <v>190</v>
      </c>
      <c r="L36" s="23" t="s">
        <v>27</v>
      </c>
      <c r="M36" s="43"/>
    </row>
    <row r="37" spans="2:14" ht="72.5" x14ac:dyDescent="0.35">
      <c r="B37" s="3">
        <v>32</v>
      </c>
      <c r="C37" s="13" t="s">
        <v>21</v>
      </c>
      <c r="D37" s="13">
        <v>48148</v>
      </c>
      <c r="E37" s="54" t="s">
        <v>22</v>
      </c>
      <c r="F37" s="54"/>
      <c r="G37" s="13" t="s">
        <v>23</v>
      </c>
      <c r="H37" s="13" t="s">
        <v>24</v>
      </c>
      <c r="I37" s="13" t="s">
        <v>25</v>
      </c>
      <c r="J37" s="3" t="s">
        <v>191</v>
      </c>
    </row>
  </sheetData>
  <mergeCells count="21">
    <mergeCell ref="I24:J24"/>
    <mergeCell ref="I25:J25"/>
    <mergeCell ref="I26:J26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I6:J6"/>
    <mergeCell ref="I7:J7"/>
    <mergeCell ref="I8:J8"/>
    <mergeCell ref="I9:J9"/>
    <mergeCell ref="I10:J10"/>
    <mergeCell ref="I11:J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49d03cd-23c0-4db8-92c5-f6b37aa5ac80">
      <Terms xmlns="http://schemas.microsoft.com/office/infopath/2007/PartnerControls"/>
    </lcf76f155ced4ddcb4097134ff3c332f>
    <TaxCatchAll xmlns="df245fa4-c7ca-48d5-825d-780f657365e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2819D24C14084CAB00C1C46902603E" ma:contentTypeVersion="19" ma:contentTypeDescription="Create a new document." ma:contentTypeScope="" ma:versionID="209a75111464591264a50752c68746f2">
  <xsd:schema xmlns:xsd="http://www.w3.org/2001/XMLSchema" xmlns:xs="http://www.w3.org/2001/XMLSchema" xmlns:p="http://schemas.microsoft.com/office/2006/metadata/properties" xmlns:ns2="14a25edf-fa4f-4a99-b3c0-e792accda29a" xmlns:ns3="149d03cd-23c0-4db8-92c5-f6b37aa5ac80" xmlns:ns4="df245fa4-c7ca-48d5-825d-780f657365ea" targetNamespace="http://schemas.microsoft.com/office/2006/metadata/properties" ma:root="true" ma:fieldsID="8d8439b2b7a98a41544ef661d8581213" ns2:_="" ns3:_="" ns4:_="">
    <xsd:import namespace="14a25edf-fa4f-4a99-b3c0-e792accda29a"/>
    <xsd:import namespace="149d03cd-23c0-4db8-92c5-f6b37aa5ac80"/>
    <xsd:import namespace="df245fa4-c7ca-48d5-825d-780f657365e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a25edf-fa4f-4a99-b3c0-e792accda29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d03cd-23c0-4db8-92c5-f6b37aa5ac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4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20b40d8-d219-42bc-ab37-beda8e9916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245fa4-c7ca-48d5-825d-780f657365ea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be35ea9f-7736-4d3d-9e37-b6a7049dc6ef}" ma:internalName="TaxCatchAll" ma:showField="CatchAllData" ma:web="df245fa4-c7ca-48d5-825d-780f657365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DADDAF-F1A4-4007-9DB7-D5406357E2C7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elements/1.1/"/>
    <ds:schemaRef ds:uri="149d03cd-23c0-4db8-92c5-f6b37aa5ac80"/>
    <ds:schemaRef ds:uri="14a25edf-fa4f-4a99-b3c0-e792accda29a"/>
    <ds:schemaRef ds:uri="http://schemas.microsoft.com/office/infopath/2007/PartnerControls"/>
    <ds:schemaRef ds:uri="http://purl.org/dc/dcmitype/"/>
    <ds:schemaRef ds:uri="http://purl.org/dc/terms/"/>
    <ds:schemaRef ds:uri="http://schemas.openxmlformats.org/package/2006/metadata/core-properties"/>
    <ds:schemaRef ds:uri="df245fa4-c7ca-48d5-825d-780f657365ea"/>
  </ds:schemaRefs>
</ds:datastoreItem>
</file>

<file path=customXml/itemProps2.xml><?xml version="1.0" encoding="utf-8"?>
<ds:datastoreItem xmlns:ds="http://schemas.openxmlformats.org/officeDocument/2006/customXml" ds:itemID="{A166532C-9E53-462A-9C23-E2AB254251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a25edf-fa4f-4a99-b3c0-e792accda29a"/>
    <ds:schemaRef ds:uri="149d03cd-23c0-4db8-92c5-f6b37aa5ac80"/>
    <ds:schemaRef ds:uri="df245fa4-c7ca-48d5-825d-780f657365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FBAB28E-A781-4F73-8FDC-36138D2193C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Currently Working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Balasubramanian Parameswaran</dc:creator>
  <cp:keywords/>
  <dc:description/>
  <cp:lastModifiedBy>Moayed Salman</cp:lastModifiedBy>
  <cp:revision/>
  <dcterms:created xsi:type="dcterms:W3CDTF">2025-02-18T09:38:54Z</dcterms:created>
  <dcterms:modified xsi:type="dcterms:W3CDTF">2025-11-12T07:42:13Z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0x010100172819D24C14084CAB00C1C46902603E</vt:lpwstr>
  </property>
  <property fmtid="{D5CDD505-2E9C-101B-9397-08002B2CF9AE}" pid="3" name="MediaServiceImageTags">
    <vt:lpwstr/>
  </property>
</Properties>
</file>